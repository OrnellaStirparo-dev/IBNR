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BK Disco D\MarceloBeguiristain\IRIS\Comunicacion anual 2024\"/>
    </mc:Choice>
  </mc:AlternateContent>
  <bookViews>
    <workbookView xWindow="0" yWindow="0" windowWidth="19140" windowHeight="5820" tabRatio="907"/>
  </bookViews>
  <sheets>
    <sheet name="INDICE" sheetId="24" r:id="rId1"/>
    <sheet name="Cuadro 1" sheetId="52" r:id="rId2"/>
    <sheet name="Cuadro 2" sheetId="22" r:id="rId3"/>
    <sheet name="Cuadro 3" sheetId="50" r:id="rId4"/>
    <sheet name="Cuadro 4" sheetId="53" r:id="rId5"/>
    <sheet name="Cuadro 5" sheetId="31" r:id="rId6"/>
    <sheet name="Cuadro 6" sheetId="54" r:id="rId7"/>
    <sheet name="Cuadro 7" sheetId="55" r:id="rId8"/>
    <sheet name="Cuadro 8" sheetId="56" r:id="rId9"/>
    <sheet name="Cuadro 9" sheetId="57" r:id="rId10"/>
    <sheet name="Cuadro 10" sheetId="58" r:id="rId11"/>
    <sheet name="Cuadro 11" sheetId="59" r:id="rId12"/>
    <sheet name="Cuadro 12" sheetId="60" r:id="rId13"/>
    <sheet name="Cuadro 13" sheetId="61" r:id="rId14"/>
    <sheet name="Cuadro 14" sheetId="62" r:id="rId15"/>
    <sheet name="Cuadro 15" sheetId="63" r:id="rId16"/>
    <sheet name="Cuadro 16" sheetId="64" r:id="rId17"/>
    <sheet name="Cuadro 17" sheetId="66" r:id="rId18"/>
    <sheet name="Cuadro 18" sheetId="67" r:id="rId19"/>
    <sheet name="Cuadro 19" sheetId="68" r:id="rId20"/>
    <sheet name="Cuadro 20" sheetId="83" r:id="rId21"/>
    <sheet name="Cuadro 21" sheetId="84" r:id="rId22"/>
    <sheet name="Cuadro 22" sheetId="85" r:id="rId23"/>
    <sheet name="Cuadro 23" sheetId="70" r:id="rId24"/>
    <sheet name="Cuadro 24" sheetId="75" r:id="rId25"/>
    <sheet name="Cuadro 25" sheetId="76" r:id="rId26"/>
    <sheet name="Cuadro 26" sheetId="77" r:id="rId27"/>
    <sheet name="Cuadro 27" sheetId="78" r:id="rId28"/>
    <sheet name="Cuadro 28" sheetId="79" r:id="rId29"/>
    <sheet name="Cuadro 29" sheetId="80" r:id="rId30"/>
    <sheet name="Cuadro 30" sheetId="81" r:id="rId31"/>
    <sheet name="Cuadro 31" sheetId="82" r:id="rId32"/>
    <sheet name="Cuadro 32" sheetId="72" r:id="rId33"/>
    <sheet name="Cuadro 33" sheetId="73" r:id="rId34"/>
  </sheets>
  <definedNames>
    <definedName name="_Hlk483005579" localSheetId="11">'Cuadro 11'!#REF!</definedName>
    <definedName name="_Hlk483005579" localSheetId="12">'Cuadro 12'!#REF!</definedName>
    <definedName name="_Hlk483005579" localSheetId="13">'Cuadro 13'!#REF!</definedName>
    <definedName name="_Hlk483005846" localSheetId="11">'Cuadro 11'!#REF!</definedName>
    <definedName name="_Hlk483005846" localSheetId="12">'Cuadro 12'!#REF!</definedName>
    <definedName name="_Hlk483005846" localSheetId="13">'Cuadro 13'!#REF!</definedName>
    <definedName name="_Hlk483070127" localSheetId="8">'Cuadro 8'!#REF!</definedName>
    <definedName name="_Hlk483070810" localSheetId="20">'Cuadro 20'!#REF!</definedName>
    <definedName name="_Hlk483070810" localSheetId="21">'Cuadro 21'!#REF!</definedName>
    <definedName name="_Hlk483070810" localSheetId="22">'Cuadro 22'!#REF!</definedName>
    <definedName name="_xlnm.Print_Area" localSheetId="2">'Cuadro 2'!$A$1:$P$2</definedName>
    <definedName name="_xlnm.Print_Area" localSheetId="5">'Cuadro 5'!$A$1:$H$22</definedName>
    <definedName name="_xlnm.Print_Area" localSheetId="0">INDICE!$A$1:$B$24</definedName>
    <definedName name="OLE_LINK24" localSheetId="9">'Cuadro 9'!#REF!</definedName>
    <definedName name="OLE_LINK25" localSheetId="20">'Cuadro 20'!#REF!</definedName>
    <definedName name="OLE_LINK25" localSheetId="21">'Cuadro 21'!#REF!</definedName>
    <definedName name="OLE_LINK25" localSheetId="22">'Cuadro 22'!#REF!</definedName>
    <definedName name="OLE_LINK27" localSheetId="20">'Cuadro 20'!#REF!</definedName>
    <definedName name="OLE_LINK27" localSheetId="21">'Cuadro 21'!#REF!</definedName>
    <definedName name="OLE_LINK27" localSheetId="22">'Cuadro 22'!#REF!</definedName>
    <definedName name="OLE_LINK28" localSheetId="20">'Cuadro 20'!#REF!</definedName>
    <definedName name="OLE_LINK28" localSheetId="21">'Cuadro 21'!#REF!</definedName>
    <definedName name="OLE_LINK28" localSheetId="22">'Cuadro 22'!#REF!</definedName>
    <definedName name="OLE_LINK35" localSheetId="20">'Cuadro 20'!$A$2</definedName>
    <definedName name="OLE_LINK35" localSheetId="21">'Cuadro 21'!$A$2</definedName>
    <definedName name="OLE_LINK35" localSheetId="22">'Cuadro 22'!$A$2</definedName>
    <definedName name="OLE_LINK35">#REF!</definedName>
  </definedNames>
  <calcPr calcId="152511"/>
</workbook>
</file>

<file path=xl/calcChain.xml><?xml version="1.0" encoding="utf-8"?>
<calcChain xmlns="http://schemas.openxmlformats.org/spreadsheetml/2006/main">
  <c r="L6" i="54" l="1"/>
  <c r="N7" i="52" l="1"/>
  <c r="O7" i="52"/>
  <c r="A37" i="24" l="1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12" i="24"/>
  <c r="A22" i="24"/>
  <c r="A21" i="24"/>
  <c r="A20" i="24"/>
  <c r="A19" i="24"/>
  <c r="A18" i="24"/>
  <c r="A17" i="24"/>
  <c r="A16" i="24"/>
  <c r="A15" i="24"/>
  <c r="A14" i="24"/>
  <c r="A13" i="24"/>
  <c r="A11" i="24"/>
  <c r="A10" i="24"/>
  <c r="A9" i="24"/>
  <c r="A8" i="24"/>
  <c r="A5" i="24"/>
  <c r="A7" i="24"/>
  <c r="A6" i="24"/>
</calcChain>
</file>

<file path=xl/sharedStrings.xml><?xml version="1.0" encoding="utf-8"?>
<sst xmlns="http://schemas.openxmlformats.org/spreadsheetml/2006/main" count="1803" uniqueCount="315">
  <si>
    <t>Total</t>
  </si>
  <si>
    <t>M1+M2+M3</t>
  </si>
  <si>
    <t>Buenos Aires</t>
  </si>
  <si>
    <t>Catamarca</t>
  </si>
  <si>
    <t>Córdoba</t>
  </si>
  <si>
    <t>Corrientes</t>
  </si>
  <si>
    <t>Entre Ríos</t>
  </si>
  <si>
    <t>Jujuy</t>
  </si>
  <si>
    <t>Mendoza</t>
  </si>
  <si>
    <t>La Rioja</t>
  </si>
  <si>
    <t>Salta</t>
  </si>
  <si>
    <t>San Juan</t>
  </si>
  <si>
    <t>San Luis</t>
  </si>
  <si>
    <t>Santa Fe</t>
  </si>
  <si>
    <t>Santiago del Estero</t>
  </si>
  <si>
    <t>Tucumán</t>
  </si>
  <si>
    <t>Chaco</t>
  </si>
  <si>
    <t>Chubut</t>
  </si>
  <si>
    <t>Formosa</t>
  </si>
  <si>
    <t>Misiones</t>
  </si>
  <si>
    <t>Neuquén</t>
  </si>
  <si>
    <t>La Pampa</t>
  </si>
  <si>
    <t>Río Negro</t>
  </si>
  <si>
    <t>Santa Cruz</t>
  </si>
  <si>
    <t>Tierra del Fuego</t>
  </si>
  <si>
    <t>País limítrofe</t>
  </si>
  <si>
    <t>Enero</t>
  </si>
  <si>
    <t>Febrero</t>
  </si>
  <si>
    <t>Marzo</t>
  </si>
  <si>
    <t>Mayo</t>
  </si>
  <si>
    <t>Junio</t>
  </si>
  <si>
    <t>Robo Parcial</t>
  </si>
  <si>
    <t>Robo Total</t>
  </si>
  <si>
    <t>Incendio Parcial</t>
  </si>
  <si>
    <t>Incendio Total</t>
  </si>
  <si>
    <t>Daño Total</t>
  </si>
  <si>
    <t>Información contenida</t>
  </si>
  <si>
    <t>Autos</t>
  </si>
  <si>
    <t>Camiones</t>
  </si>
  <si>
    <t>Motos</t>
  </si>
  <si>
    <t>Taxis</t>
  </si>
  <si>
    <t>Remises</t>
  </si>
  <si>
    <t>Camionetas</t>
  </si>
  <si>
    <t xml:space="preserve"> Jeeps más de 4 cilindros, pick up B, casas rodantes con propulsión propia.</t>
  </si>
  <si>
    <t xml:space="preserve"> Camiones, semitracción.</t>
  </si>
  <si>
    <t>M2: vehículo para transporte de pasajeros con más de 8 asientos excluyendo el asiento del conductor, y que no exceda el peso máximo de 5000 Kg.</t>
  </si>
  <si>
    <t>M1: vehículo para transporte de pasajeros, que no contenga más de 8 asientos además del asiento del conductor y que cargado no exceda de un peso máximo de 3500 Kg.</t>
  </si>
  <si>
    <t>M3: vehículo para transporte de pasajeros con más de 8 asientos excluyendo el asiento del conductor, y que tenga un peso mayor a los 5000 Kg.</t>
  </si>
  <si>
    <t>Máquinas Rurales</t>
  </si>
  <si>
    <t xml:space="preserve"> Tractores, máquinas rurales, acoplados para trabajos rurales, acoplados, furgones, semirremolques, casas rodantes sin propulsión propia, trailer, bantam.</t>
  </si>
  <si>
    <t>Rosario</t>
  </si>
  <si>
    <t>Córdoba capital</t>
  </si>
  <si>
    <t xml:space="preserve"> Autómoviles, camionetas rurales, breaks, jeeps hasta 4 cilindros, pick up A.</t>
  </si>
  <si>
    <t>Gran Mendoza</t>
  </si>
  <si>
    <t>AUTOMOTORES - Coberturas de Casco</t>
  </si>
  <si>
    <t>Resto del País</t>
  </si>
  <si>
    <t>ANEXO II</t>
  </si>
  <si>
    <t>Daño Parcial</t>
  </si>
  <si>
    <t>Abril</t>
  </si>
  <si>
    <t>Julio</t>
  </si>
  <si>
    <t>Agosto</t>
  </si>
  <si>
    <t>Septiembre</t>
  </si>
  <si>
    <t>Octubre</t>
  </si>
  <si>
    <t>Noviembre</t>
  </si>
  <si>
    <t>Diciembre</t>
  </si>
  <si>
    <t>Resto Bs As</t>
  </si>
  <si>
    <t xml:space="preserve">    Zona Gran La Plata, integrada por los partidos de Berisso, Ensenada y La Plata.</t>
  </si>
  <si>
    <t xml:space="preserve">    Zona Sur, integrada por los partidos de Esteban Echeverría, Ezeiza, Presidente Perón y San Vicente.</t>
  </si>
  <si>
    <t xml:space="preserve">    Zona Suroeste, integrada por los partidos de La Matanza, Lanús y Lomas de Zamora.</t>
  </si>
  <si>
    <t xml:space="preserve">    Zona Noreste, integrada por los partidos de Escobar, San Fernando, San Isidro, Tigre y Vicente López.</t>
  </si>
  <si>
    <t xml:space="preserve">    Zona Noroeste, integrada por los partidos de General Rodríguez, Merlo, Moreno y Pilar.</t>
  </si>
  <si>
    <t xml:space="preserve">    Zona Norte Centro, integrada por los partidos de General San Martín, José C. Paz, Malvinas Argentinas, San Miguel y Tres de Febrero</t>
  </si>
  <si>
    <t xml:space="preserve">    Zona Oeste, integrada por los partidos de Hurlingham, Ituzaingó, Morón.</t>
  </si>
  <si>
    <t>(*)</t>
  </si>
  <si>
    <t xml:space="preserve">    Zona Sureste, integrada por los partidos de Almirante Brown, Avellaneda, Berazategui, Florencio Varela y Quilmes.</t>
  </si>
  <si>
    <t>TOTAL</t>
  </si>
  <si>
    <t>%</t>
  </si>
  <si>
    <t>A</t>
  </si>
  <si>
    <t>B</t>
  </si>
  <si>
    <t>B1</t>
  </si>
  <si>
    <t>C</t>
  </si>
  <si>
    <t>C1</t>
  </si>
  <si>
    <t>D</t>
  </si>
  <si>
    <t>OTRAS</t>
  </si>
  <si>
    <t>Responsabilidad Civil (RC)</t>
  </si>
  <si>
    <t>RC, Robo Total, Incendio Total, Daño Total</t>
  </si>
  <si>
    <t>RC, Robo Total, Incendio Total</t>
  </si>
  <si>
    <t>RC, Robo Total y Parcial, Incendio Total y Parcial, Daño Total</t>
  </si>
  <si>
    <t>RC, Robo Total y Parcial, Incendio Total y Parcial</t>
  </si>
  <si>
    <t>RC, Robo Total y Parcial, Incendio Total y Parcial, Daño Total y Parcial</t>
  </si>
  <si>
    <t>RC y coberturas de casco varias</t>
  </si>
  <si>
    <t>RC</t>
  </si>
  <si>
    <t>Maq rurales</t>
  </si>
  <si>
    <t>Gran La Plata</t>
  </si>
  <si>
    <t>Noreste</t>
  </si>
  <si>
    <t>Noroeste</t>
  </si>
  <si>
    <t>Norte Centro</t>
  </si>
  <si>
    <t>Oeste</t>
  </si>
  <si>
    <t>Sur</t>
  </si>
  <si>
    <t>Sureste</t>
  </si>
  <si>
    <t>Suroeste</t>
  </si>
  <si>
    <t>Bahía Blanca</t>
  </si>
  <si>
    <t>Gral Pueyrredón</t>
  </si>
  <si>
    <t>Máq Rurales</t>
  </si>
  <si>
    <t>A.M.B.A.</t>
  </si>
  <si>
    <t>Córdoba Capital</t>
  </si>
  <si>
    <t>-</t>
  </si>
  <si>
    <t>Cant.</t>
  </si>
  <si>
    <t>Cuadro 1</t>
  </si>
  <si>
    <t>Cuadro 2</t>
  </si>
  <si>
    <t>Cuadro 3</t>
  </si>
  <si>
    <t>Cuadro 4</t>
  </si>
  <si>
    <t>Cuadro 5</t>
  </si>
  <si>
    <t>Cuadro 6</t>
  </si>
  <si>
    <t>Cuadro 7</t>
  </si>
  <si>
    <t>Cuadro 8</t>
  </si>
  <si>
    <t>Cuadro 9</t>
  </si>
  <si>
    <t>Cuadro 10</t>
  </si>
  <si>
    <t>Cuadro 11</t>
  </si>
  <si>
    <t>Cuadro 12</t>
  </si>
  <si>
    <t>Cuadro 13</t>
  </si>
  <si>
    <t>Cuadro 14</t>
  </si>
  <si>
    <t>Cuadro 15</t>
  </si>
  <si>
    <t>Cuadro 16</t>
  </si>
  <si>
    <t>Cuadro 17</t>
  </si>
  <si>
    <t>Cuadro 18</t>
  </si>
  <si>
    <t>Cuadro 19</t>
  </si>
  <si>
    <t>*</t>
  </si>
  <si>
    <t>RC + Casco</t>
  </si>
  <si>
    <t>Area Metropolitana Buenos Aires (A.M.B.A.)</t>
  </si>
  <si>
    <t>Cantidad de Siniestros de Robo Total</t>
  </si>
  <si>
    <t>Cuadro</t>
  </si>
  <si>
    <t>prom. Diario</t>
  </si>
  <si>
    <t>Frecuencia Siniestral</t>
  </si>
  <si>
    <t>INDICE</t>
  </si>
  <si>
    <t>Cuadro 5: Siniestros por Tipo de Vehículo. Todos los Hechos Generadores de Casco. Por año</t>
  </si>
  <si>
    <t xml:space="preserve">Cuadro 6: Vehículos Expuestos a Riesgo por Tipo de Vehículo. Participación por Tipo de Cobertura. Por año </t>
  </si>
  <si>
    <t>Cuadro 11: Siniestros de Robo Total por Tipo de Vehículo. Por año</t>
  </si>
  <si>
    <t xml:space="preserve">Cuadro 12: Vehículos Expuestos a Riesgo con cobertura de Robo Total por Tipo de Vehículo. Por año </t>
  </si>
  <si>
    <t>Cuadro 13: Frecuencia Siniestral de Robo Total por Tipo de Vehículo. Por año</t>
  </si>
  <si>
    <t xml:space="preserve">Cuadro 14: Siniestros de Robo Total por Mes de ocurrencia </t>
  </si>
  <si>
    <t>C.A.B.A.</t>
  </si>
  <si>
    <t xml:space="preserve">    C.A.B.A.</t>
  </si>
  <si>
    <t>* puntos porcentuales</t>
  </si>
  <si>
    <t>Var. %</t>
  </si>
  <si>
    <t>Part. %</t>
  </si>
  <si>
    <t>Var.</t>
  </si>
  <si>
    <t>Cuadro 3: Vehículos Expuestos a Riesgo. Participación porcentual por Categoría de Cobertura. Por año</t>
  </si>
  <si>
    <t>Frec. Sin.</t>
  </si>
  <si>
    <t>Cuadro 17: Siniestros de Robo Total por Jurisdicción. Por año</t>
  </si>
  <si>
    <t>Cuadro 18: Vehículos Expuestos a Riesgo con cobertura de Robo Total por Jurisdicción. Por año</t>
  </si>
  <si>
    <t>Cuadro 19: Frecuencia Siniestral de Robo Total por Jurisdicción. Por año</t>
  </si>
  <si>
    <t>Cuadro 1: Vehículos Expuestos a Riesgo. Por Categoría de Cobertura. Por año.</t>
  </si>
  <si>
    <t>Cuadro 2: Siniestros por Hecho Generador. Total por año</t>
  </si>
  <si>
    <t>Cuadro 4: Frecuencia Siniestral por Hecho Generador. Por año</t>
  </si>
  <si>
    <t>Cuadro 7: Frecuencia Siniestral de Casco por Tipo de Vehículo. Todos los Hechos Generadores de Casco. Por año</t>
  </si>
  <si>
    <t>Var. (en p.p.)*</t>
  </si>
  <si>
    <t>Cuadro 23: Siniestros de Robo Total. Frecuencia Siniestral. Principales Tipos de Vehículo, Jurisdicciones y Zonas.</t>
  </si>
  <si>
    <t>General Pueyrredón</t>
  </si>
  <si>
    <t>Año de Fabricación</t>
  </si>
  <si>
    <t>Cantidad</t>
  </si>
  <si>
    <t>Resto</t>
  </si>
  <si>
    <t>Posición</t>
  </si>
  <si>
    <t>Marca</t>
  </si>
  <si>
    <t>Modelo</t>
  </si>
  <si>
    <t>VOLKSWAGEN</t>
  </si>
  <si>
    <t>GOL</t>
  </si>
  <si>
    <t>RENAULT</t>
  </si>
  <si>
    <t>KANGOO</t>
  </si>
  <si>
    <t>CHEVROLET</t>
  </si>
  <si>
    <t>CLASSIC</t>
  </si>
  <si>
    <t>CLIO</t>
  </si>
  <si>
    <t>CORSA</t>
  </si>
  <si>
    <t>FORD</t>
  </si>
  <si>
    <t>FIESTA</t>
  </si>
  <si>
    <t>FIAT</t>
  </si>
  <si>
    <t>PALIO</t>
  </si>
  <si>
    <t>TOYOTA</t>
  </si>
  <si>
    <t>HILUX</t>
  </si>
  <si>
    <t>SIENA</t>
  </si>
  <si>
    <t>ECOSPORT</t>
  </si>
  <si>
    <t>UNO</t>
  </si>
  <si>
    <t>KA</t>
  </si>
  <si>
    <t>SURAN</t>
  </si>
  <si>
    <t>PEUGEOT</t>
  </si>
  <si>
    <t>PARTNER</t>
  </si>
  <si>
    <t>SANDERO</t>
  </si>
  <si>
    <t>RANGER</t>
  </si>
  <si>
    <t>FIORINO</t>
  </si>
  <si>
    <t>FOCUS</t>
  </si>
  <si>
    <t>FOX</t>
  </si>
  <si>
    <t>CITROEN</t>
  </si>
  <si>
    <t>C3</t>
  </si>
  <si>
    <t>AMAROK</t>
  </si>
  <si>
    <t>MEGANE</t>
  </si>
  <si>
    <t>VOYAGE</t>
  </si>
  <si>
    <t>HONDA</t>
  </si>
  <si>
    <t>WAVE</t>
  </si>
  <si>
    <t>XR</t>
  </si>
  <si>
    <t>BAJAJ</t>
  </si>
  <si>
    <t>ROUSER</t>
  </si>
  <si>
    <t>TITAN</t>
  </si>
  <si>
    <t>GILERA</t>
  </si>
  <si>
    <t>SMASH</t>
  </si>
  <si>
    <t>YAMAHA</t>
  </si>
  <si>
    <t>FZ</t>
  </si>
  <si>
    <t>YBR</t>
  </si>
  <si>
    <t>ZANELLA</t>
  </si>
  <si>
    <t>ZB</t>
  </si>
  <si>
    <t>CORVEN</t>
  </si>
  <si>
    <t>ENERGY</t>
  </si>
  <si>
    <t>TWISTER</t>
  </si>
  <si>
    <t>MOTOMEL</t>
  </si>
  <si>
    <t>BLITZ</t>
  </si>
  <si>
    <t>GLH</t>
  </si>
  <si>
    <t>KELLER</t>
  </si>
  <si>
    <t>KN</t>
  </si>
  <si>
    <t>DOMINAR</t>
  </si>
  <si>
    <t>KTM</t>
  </si>
  <si>
    <t>DUKE</t>
  </si>
  <si>
    <t>XTZ</t>
  </si>
  <si>
    <t>RX</t>
  </si>
  <si>
    <t>MIRAGE</t>
  </si>
  <si>
    <t>BIZ</t>
  </si>
  <si>
    <t>Jurisdicción</t>
  </si>
  <si>
    <t>Zona</t>
  </si>
  <si>
    <t>Partido</t>
  </si>
  <si>
    <t>Berisso</t>
  </si>
  <si>
    <t>Ensenada</t>
  </si>
  <si>
    <t>La Plata</t>
  </si>
  <si>
    <t>Escobar</t>
  </si>
  <si>
    <t>San Fernando</t>
  </si>
  <si>
    <t>San Isidro</t>
  </si>
  <si>
    <t>Tigre</t>
  </si>
  <si>
    <t>Vicente Lopez</t>
  </si>
  <si>
    <t>General Rodriguez</t>
  </si>
  <si>
    <t>Merlo</t>
  </si>
  <si>
    <t>Moreno</t>
  </si>
  <si>
    <t>Pilar</t>
  </si>
  <si>
    <t>Jose C. Paz</t>
  </si>
  <si>
    <t>Malvinas Argentinas</t>
  </si>
  <si>
    <t>San Martin</t>
  </si>
  <si>
    <t>San Miguel</t>
  </si>
  <si>
    <t>Tres de febrero</t>
  </si>
  <si>
    <t>Hurlingham</t>
  </si>
  <si>
    <t>Ituzaingo</t>
  </si>
  <si>
    <t>Morón</t>
  </si>
  <si>
    <t>Esteban Echeverria</t>
  </si>
  <si>
    <t>Ezeiza</t>
  </si>
  <si>
    <t>Presidente Peron</t>
  </si>
  <si>
    <t>San Vicente</t>
  </si>
  <si>
    <t>Almirante Brown</t>
  </si>
  <si>
    <t>Avellaneda</t>
  </si>
  <si>
    <t>Berazategui</t>
  </si>
  <si>
    <t>Florencio Varela</t>
  </si>
  <si>
    <t>Quilmes</t>
  </si>
  <si>
    <t>La Matanza</t>
  </si>
  <si>
    <t>Lanus</t>
  </si>
  <si>
    <t>Lomas de Zamora</t>
  </si>
  <si>
    <t>Bahia Blanca</t>
  </si>
  <si>
    <t>General Pueyrredon</t>
  </si>
  <si>
    <t>Resto de Buenos Aires</t>
  </si>
  <si>
    <t>Cuadro 25: Siniestros de Robo Total. Partidos del Área Metropolitana. Por año</t>
  </si>
  <si>
    <t xml:space="preserve">Cuadro 26: Vehículos Expuestos a Riesgo con cobertura de Robo Total. Partidos del Área Metropolitana. Por año </t>
  </si>
  <si>
    <t>Cuadro 27: Frecuencia Siniestral de Robo Total. Partidos del Área Metropolitana. Por año</t>
  </si>
  <si>
    <t>Jurisdicción / Zona</t>
  </si>
  <si>
    <t>Part.%</t>
  </si>
  <si>
    <t>Otros</t>
  </si>
  <si>
    <t>Cuadro 20</t>
  </si>
  <si>
    <t>Cuadro 21</t>
  </si>
  <si>
    <t>Cuadro 22</t>
  </si>
  <si>
    <t>Cuadro 23</t>
  </si>
  <si>
    <t>Cuadro 24</t>
  </si>
  <si>
    <t>Cuadro 25</t>
  </si>
  <si>
    <t>Cuadro 26</t>
  </si>
  <si>
    <t>Cuadro 27</t>
  </si>
  <si>
    <t>Cuadro 28</t>
  </si>
  <si>
    <t>Cuadro 29</t>
  </si>
  <si>
    <t>Cuadro 30</t>
  </si>
  <si>
    <t>Cuadro 31</t>
  </si>
  <si>
    <t>Cuadro 32</t>
  </si>
  <si>
    <t>Cuadro 33</t>
  </si>
  <si>
    <t>Siniestros de Casco del Ramo Automotores - año 2024</t>
  </si>
  <si>
    <t>Categoría de Cobertura</t>
  </si>
  <si>
    <t>Año</t>
  </si>
  <si>
    <t>Part. 2024</t>
  </si>
  <si>
    <t>(24 / 23)</t>
  </si>
  <si>
    <t>(24 / 15)</t>
  </si>
  <si>
    <t>Hecho Generador</t>
  </si>
  <si>
    <t>Tipo de Vehículo</t>
  </si>
  <si>
    <t>Cuadro 8: Siniestros de Casco por Jurisdicción. Año 2024. Comparación con año 2023</t>
  </si>
  <si>
    <t>Cuadro 10: Frecuencia Siniestral de Casco por Hecho Generador.  Principales Zonas. Año 2024. Comparación con año 2023</t>
  </si>
  <si>
    <t>Cuadro 9: Siniestros de Casco por Jurisdicción, Zona y Hecho Generador. Año 2024</t>
  </si>
  <si>
    <t>Cuadro 15: Siniestros de Robo Total por Tipo de Vehículo y Mes de ocurrencia. Año 2024</t>
  </si>
  <si>
    <t>Cuadro 16: Siniestros de Robo Total por Jurisdicción. Año 2024</t>
  </si>
  <si>
    <t>Cuadro 20: Siniestros de Robo Total por Tipo de Vehículo y Jurisdicción. Año 2024</t>
  </si>
  <si>
    <t>Cuadro 21: Vehículos Expuestos a Riesgo por Tipo de Vehículo y Jurisdicción. Cobertura de Robo Total. Año 2024</t>
  </si>
  <si>
    <t>Cuadro 22: Frecuencia Siniestral de Robo Total por Tipo de Vehículo y Jurisdicción. Año 2024</t>
  </si>
  <si>
    <t>Cuadro 24: Siniestros de Robo Total. Partidos del Área Metropolitana. Año 2024</t>
  </si>
  <si>
    <t>Cuadro 28: Siniestros de Robo Total. Partidos del Área Metropolitana. Principales Tipos de Vehículo. Año 2024</t>
  </si>
  <si>
    <t>Cuadro 29: Vehículos Expuestos a Riesgo con cobertura de Robo Total. Partidos del Área Metropolitana. Principales Tipos de Vehículo. Año 2024</t>
  </si>
  <si>
    <t>Cuadro 30: Frecuencia Siniestral de Robo Total. Partidos del Área Metropolitana. Principales Tipos de Vehículo. Año 2024</t>
  </si>
  <si>
    <t>Cuadro 32: Automóviles. Siniestros de Robo Total. Ranking por Marca y Modelo. Año 2024</t>
  </si>
  <si>
    <t>Cuadro 33: Motos. Siniestros de Robo Total. Ranking por Marca y Modelo. Año 2024</t>
  </si>
  <si>
    <t>Mes</t>
  </si>
  <si>
    <t>Sin información</t>
  </si>
  <si>
    <t>Cuota %</t>
  </si>
  <si>
    <t>Acumulado %</t>
  </si>
  <si>
    <t>COROLLA</t>
  </si>
  <si>
    <t>CRONOS</t>
  </si>
  <si>
    <t>C4</t>
  </si>
  <si>
    <t>ONIX</t>
  </si>
  <si>
    <t>MONDIAL</t>
  </si>
  <si>
    <t>LD</t>
  </si>
  <si>
    <t>Cuadro 31: Siniestros de Robo Total por Año de Fabricación y Tipo de Vehículo. Año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</si>
</sst>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 * #,##0_ ;_ * \-#,##0_ ;_ * &quot;-&quot;_ ;_ @_ "/>
    <numFmt numFmtId="165" formatCode="_ * #,##0.00_ ;_ * \-#,##0.00_ ;_ * &quot;-&quot;??_ ;_ @_ "/>
    <numFmt numFmtId="166" formatCode="0.0%"/>
    <numFmt numFmtId="167" formatCode="_ * #,##0.0_ ;_ * \-#,##0.0_ ;_ * &quot;-&quot;??_ ;_ @_ "/>
    <numFmt numFmtId="168" formatCode="_ * #,##0_ ;_ * \-#,##0_ ;_ * &quot;-&quot;??_ ;_ @_ "/>
    <numFmt numFmtId="169" formatCode="_ * #,##0.0000000000_ ;_ * \-#,##0.0000000000_ ;_ * &quot;-&quot;??_ ;_ @_ "/>
  </numFmts>
  <fonts count="33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Roboto"/>
    </font>
    <font>
      <sz val="12"/>
      <name val="Roboto"/>
    </font>
    <font>
      <sz val="14"/>
      <name val="Roboto"/>
    </font>
    <font>
      <sz val="8"/>
      <name val="Roboto"/>
    </font>
    <font>
      <sz val="10"/>
      <name val="Arial"/>
      <family val="2"/>
    </font>
    <font>
      <sz val="10"/>
      <name val="Arial"/>
      <family val="2"/>
    </font>
    <font>
      <sz val="10"/>
      <name val="Montserrat"/>
    </font>
    <font>
      <b/>
      <sz val="10"/>
      <name val="Montserrat"/>
    </font>
    <font>
      <sz val="8"/>
      <name val="Montserrat"/>
    </font>
    <font>
      <u/>
      <sz val="10"/>
      <color indexed="12"/>
      <name val="Montserrat"/>
    </font>
    <font>
      <sz val="11"/>
      <color theme="1"/>
      <name val="Calibri"/>
      <family val="2"/>
      <scheme val="minor"/>
    </font>
    <font>
      <sz val="14"/>
      <color theme="0"/>
      <name val="Roboto"/>
    </font>
    <font>
      <b/>
      <sz val="10"/>
      <color theme="0" tint="-0.499984740745262"/>
      <name val="Montserrat"/>
    </font>
    <font>
      <b/>
      <u/>
      <sz val="10"/>
      <color theme="0"/>
      <name val="Lora"/>
    </font>
    <font>
      <b/>
      <sz val="10"/>
      <color theme="0"/>
      <name val="Montserrat"/>
    </font>
    <font>
      <b/>
      <sz val="10"/>
      <color theme="0"/>
      <name val="Lora"/>
    </font>
    <font>
      <b/>
      <sz val="14"/>
      <color theme="0"/>
      <name val="Lora"/>
    </font>
    <font>
      <sz val="10"/>
      <color theme="0" tint="-0.499984740745262"/>
      <name val="Montserrat"/>
    </font>
    <font>
      <b/>
      <sz val="10"/>
      <color theme="1" tint="4.9989318521683403E-2"/>
      <name val="Montserrat"/>
    </font>
    <font>
      <b/>
      <sz val="9"/>
      <color theme="0"/>
      <name val="Montserrat"/>
    </font>
    <font>
      <b/>
      <sz val="8"/>
      <color theme="0"/>
      <name val="Montserrat"/>
    </font>
    <font>
      <b/>
      <sz val="12"/>
      <color theme="0"/>
      <name val="Lora"/>
    </font>
    <font>
      <b/>
      <sz val="12"/>
      <color theme="0"/>
      <name val="Montserrat"/>
    </font>
    <font>
      <sz val="8"/>
      <color theme="0"/>
      <name val="Montserrat"/>
    </font>
    <font>
      <sz val="10"/>
      <color rgb="FF404040"/>
      <name val="Montserrat"/>
      <family val="3"/>
    </font>
    <font>
      <sz val="10"/>
      <color theme="0" tint="-0.499984740745262"/>
      <name val="Montserrat"/>
      <family val="3"/>
    </font>
    <font>
      <sz val="10"/>
      <color theme="1" tint="0.249977111117893"/>
      <name val="Montserrat"/>
      <family val="3"/>
    </font>
    <font>
      <sz val="9"/>
      <color theme="0"/>
      <name val="Montserrat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242C4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42C4F"/>
        <bgColor indexed="9"/>
      </patternFill>
    </fill>
    <fill>
      <patternFill patternType="solid">
        <fgColor rgb="FFF2F2F2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3" tint="0.39994506668294322"/>
      </top>
      <bottom style="thick">
        <color theme="3" tint="0.39994506668294322"/>
      </bottom>
      <diagonal/>
    </border>
    <border>
      <left style="thin">
        <color indexed="64"/>
      </left>
      <right/>
      <top style="thin">
        <color indexed="64"/>
      </top>
      <bottom style="thin">
        <color theme="3" tint="0.39994506668294322"/>
      </bottom>
      <diagonal/>
    </border>
    <border>
      <left/>
      <right/>
      <top style="thin">
        <color indexed="64"/>
      </top>
      <bottom style="thin">
        <color theme="3" tint="0.39994506668294322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rgb="FF242C4F"/>
      </right>
      <top style="thin">
        <color theme="0"/>
      </top>
      <bottom style="thin">
        <color rgb="FF00B0F0"/>
      </bottom>
      <diagonal/>
    </border>
    <border>
      <left style="thin">
        <color rgb="FF242C4F"/>
      </left>
      <right style="thin">
        <color rgb="FF242C4F"/>
      </right>
      <top style="thin">
        <color theme="0"/>
      </top>
      <bottom style="thin">
        <color rgb="FF00B0F0"/>
      </bottom>
      <diagonal/>
    </border>
    <border>
      <left style="thin">
        <color rgb="FF242C4F"/>
      </left>
      <right style="thin">
        <color indexed="64"/>
      </right>
      <top style="thin">
        <color theme="0"/>
      </top>
      <bottom style="thin">
        <color rgb="FF00B0F0"/>
      </bottom>
      <diagonal/>
    </border>
    <border>
      <left style="thin">
        <color indexed="64"/>
      </left>
      <right style="thin">
        <color rgb="FF242C4F"/>
      </right>
      <top/>
      <bottom/>
      <diagonal/>
    </border>
    <border>
      <left/>
      <right style="thin">
        <color rgb="FF242C4F"/>
      </right>
      <top/>
      <bottom/>
      <diagonal/>
    </border>
    <border>
      <left style="thin">
        <color rgb="FF242C4F"/>
      </left>
      <right style="thin">
        <color rgb="FF242C4F"/>
      </right>
      <top/>
      <bottom/>
      <diagonal/>
    </border>
    <border>
      <left style="thin">
        <color rgb="FF242C4F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242C4F"/>
      </right>
      <top/>
      <bottom style="thin">
        <color indexed="64"/>
      </bottom>
      <diagonal/>
    </border>
    <border>
      <left/>
      <right style="thin">
        <color rgb="FF242C4F"/>
      </right>
      <top/>
      <bottom style="thin">
        <color indexed="64"/>
      </bottom>
      <diagonal/>
    </border>
    <border>
      <left style="thin">
        <color rgb="FF242C4F"/>
      </left>
      <right style="thin">
        <color rgb="FF242C4F"/>
      </right>
      <top/>
      <bottom style="thin">
        <color indexed="64"/>
      </bottom>
      <diagonal/>
    </border>
    <border>
      <left style="thin">
        <color rgb="FF242C4F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242C4F"/>
      </left>
      <right style="thin">
        <color indexed="64"/>
      </right>
      <top/>
      <bottom style="thin">
        <color rgb="FF00B0F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rgb="FF00B0F0"/>
      </top>
      <bottom/>
      <diagonal/>
    </border>
    <border>
      <left style="thin">
        <color indexed="64"/>
      </left>
      <right style="thin">
        <color rgb="FF242C4F"/>
      </right>
      <top style="thin">
        <color rgb="FF00B0F0"/>
      </top>
      <bottom/>
      <diagonal/>
    </border>
    <border>
      <left style="thin">
        <color indexed="64"/>
      </left>
      <right style="thin">
        <color rgb="FF242C4F"/>
      </right>
      <top style="thin">
        <color indexed="64"/>
      </top>
      <bottom/>
      <diagonal/>
    </border>
    <border>
      <left style="thin">
        <color rgb="FF242C4F"/>
      </left>
      <right style="thin">
        <color rgb="FF242C4F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B0F0"/>
      </top>
      <bottom/>
      <diagonal/>
    </border>
    <border>
      <left style="thin">
        <color indexed="64"/>
      </left>
      <right/>
      <top style="thin">
        <color theme="0"/>
      </top>
      <bottom style="thin">
        <color rgb="FF00B0F0"/>
      </bottom>
      <diagonal/>
    </border>
    <border>
      <left/>
      <right style="thin">
        <color rgb="FF242C4F"/>
      </right>
      <top style="thin">
        <color theme="0"/>
      </top>
      <bottom style="thin">
        <color rgb="FF00B0F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242C4F"/>
      </left>
      <right style="thin">
        <color rgb="FF242C4F"/>
      </right>
      <top/>
      <bottom style="thin">
        <color rgb="FF00B0F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rgb="FF00B0F0"/>
      </bottom>
      <diagonal/>
    </border>
    <border>
      <left/>
      <right style="thin">
        <color rgb="FF242C4F"/>
      </right>
      <top/>
      <bottom style="thin">
        <color rgb="FF00B0F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B0F0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rgb="FF00B0F0"/>
      </bottom>
      <diagonal/>
    </border>
    <border>
      <left/>
      <right/>
      <top style="thin">
        <color theme="0"/>
      </top>
      <bottom style="thin">
        <color rgb="FF00B0F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rgb="FF00B0F0"/>
      </bottom>
      <diagonal/>
    </border>
  </borders>
  <cellStyleXfs count="39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3" fillId="0" borderId="0"/>
    <xf numFmtId="0" fontId="15" fillId="0" borderId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413">
    <xf numFmtId="0" fontId="0" fillId="0" borderId="0" xfId="0"/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0" xfId="0" applyFont="1" applyFill="1"/>
    <xf numFmtId="0" fontId="5" fillId="2" borderId="0" xfId="0" applyFont="1" applyFill="1" applyAlignment="1">
      <alignment horizontal="left"/>
    </xf>
    <xf numFmtId="168" fontId="5" fillId="0" borderId="0" xfId="2" applyNumberFormat="1" applyFont="1"/>
    <xf numFmtId="0" fontId="5" fillId="0" borderId="0" xfId="0" applyFont="1" applyAlignment="1">
      <alignment horizontal="center"/>
    </xf>
    <xf numFmtId="0" fontId="5" fillId="3" borderId="0" xfId="0" applyFont="1" applyFill="1"/>
    <xf numFmtId="169" fontId="5" fillId="0" borderId="0" xfId="2" applyNumberFormat="1" applyFont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168" fontId="7" fillId="2" borderId="0" xfId="2" applyNumberFormat="1" applyFont="1" applyFill="1" applyAlignment="1">
      <alignment horizontal="left" vertical="center"/>
    </xf>
    <xf numFmtId="9" fontId="5" fillId="0" borderId="0" xfId="32" applyFont="1" applyAlignment="1">
      <alignment horizontal="center"/>
    </xf>
    <xf numFmtId="168" fontId="5" fillId="0" borderId="0" xfId="12" applyNumberFormat="1" applyFont="1"/>
    <xf numFmtId="165" fontId="5" fillId="0" borderId="0" xfId="12" applyFont="1" applyAlignment="1">
      <alignment horizontal="right"/>
    </xf>
    <xf numFmtId="165" fontId="7" fillId="2" borderId="0" xfId="12" applyFont="1" applyFill="1" applyAlignment="1">
      <alignment horizontal="left" vertical="center"/>
    </xf>
    <xf numFmtId="165" fontId="5" fillId="3" borderId="0" xfId="12" applyFont="1" applyFill="1"/>
    <xf numFmtId="0" fontId="5" fillId="0" borderId="0" xfId="0" applyFont="1" applyAlignment="1">
      <alignment horizontal="right"/>
    </xf>
    <xf numFmtId="9" fontId="5" fillId="0" borderId="0" xfId="38" applyFont="1"/>
    <xf numFmtId="10" fontId="5" fillId="0" borderId="0" xfId="38" applyNumberFormat="1" applyFont="1"/>
    <xf numFmtId="0" fontId="5" fillId="0" borderId="0" xfId="29" applyFont="1" applyAlignment="1">
      <alignment vertical="center"/>
    </xf>
    <xf numFmtId="0" fontId="18" fillId="5" borderId="0" xfId="29" applyFont="1" applyFill="1" applyAlignment="1">
      <alignment horizontal="center" vertical="center"/>
    </xf>
    <xf numFmtId="1" fontId="19" fillId="5" borderId="0" xfId="0" applyNumberFormat="1" applyFont="1" applyFill="1" applyBorder="1" applyAlignment="1">
      <alignment horizontal="center" vertical="center" wrapText="1"/>
    </xf>
    <xf numFmtId="1" fontId="19" fillId="5" borderId="1" xfId="0" applyNumberFormat="1" applyFont="1" applyFill="1" applyBorder="1" applyAlignment="1">
      <alignment horizontal="center" vertical="center" wrapText="1"/>
    </xf>
    <xf numFmtId="1" fontId="19" fillId="5" borderId="2" xfId="0" applyNumberFormat="1" applyFont="1" applyFill="1" applyBorder="1" applyAlignment="1">
      <alignment horizontal="center" vertical="center" wrapText="1"/>
    </xf>
    <xf numFmtId="0" fontId="21" fillId="5" borderId="6" xfId="29" applyFont="1" applyFill="1" applyBorder="1" applyAlignment="1">
      <alignment vertical="center"/>
    </xf>
    <xf numFmtId="0" fontId="21" fillId="5" borderId="7" xfId="29" applyFont="1" applyFill="1" applyBorder="1" applyAlignment="1">
      <alignment vertical="center"/>
    </xf>
    <xf numFmtId="0" fontId="21" fillId="5" borderId="8" xfId="29" applyFont="1" applyFill="1" applyBorder="1" applyAlignment="1">
      <alignment vertical="center"/>
    </xf>
    <xf numFmtId="0" fontId="13" fillId="2" borderId="0" xfId="0" applyFont="1" applyFill="1" applyAlignment="1">
      <alignment horizontal="left"/>
    </xf>
    <xf numFmtId="0" fontId="13" fillId="2" borderId="0" xfId="0" applyFont="1" applyFill="1"/>
    <xf numFmtId="0" fontId="11" fillId="2" borderId="0" xfId="0" applyFont="1" applyFill="1"/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9" fontId="11" fillId="0" borderId="0" xfId="32" applyFont="1" applyAlignment="1">
      <alignment horizontal="center"/>
    </xf>
    <xf numFmtId="0" fontId="11" fillId="3" borderId="0" xfId="0" applyFont="1" applyFill="1" applyAlignment="1">
      <alignment vertical="center"/>
    </xf>
    <xf numFmtId="0" fontId="11" fillId="0" borderId="0" xfId="0" applyFont="1" applyFill="1" applyBorder="1" applyAlignment="1">
      <alignment vertical="center"/>
    </xf>
    <xf numFmtId="166" fontId="11" fillId="0" borderId="0" xfId="32" applyNumberFormat="1" applyFont="1"/>
    <xf numFmtId="0" fontId="11" fillId="0" borderId="0" xfId="0" applyFont="1" applyAlignment="1">
      <alignment horizontal="left"/>
    </xf>
    <xf numFmtId="165" fontId="11" fillId="0" borderId="0" xfId="12" applyFont="1" applyAlignment="1">
      <alignment horizontal="right"/>
    </xf>
    <xf numFmtId="165" fontId="11" fillId="3" borderId="0" xfId="12" applyFont="1" applyFill="1" applyAlignment="1">
      <alignment vertical="center"/>
    </xf>
    <xf numFmtId="165" fontId="11" fillId="0" borderId="0" xfId="12" applyFont="1"/>
    <xf numFmtId="0" fontId="11" fillId="0" borderId="0" xfId="0" applyFont="1" applyAlignment="1">
      <alignment horizontal="right"/>
    </xf>
    <xf numFmtId="9" fontId="11" fillId="0" borderId="0" xfId="38" applyFont="1"/>
    <xf numFmtId="166" fontId="11" fillId="0" borderId="0" xfId="38" applyNumberFormat="1" applyFont="1"/>
    <xf numFmtId="1" fontId="24" fillId="5" borderId="1" xfId="0" applyNumberFormat="1" applyFont="1" applyFill="1" applyBorder="1" applyAlignment="1">
      <alignment horizontal="center" vertical="center" wrapText="1"/>
    </xf>
    <xf numFmtId="1" fontId="24" fillId="5" borderId="5" xfId="0" applyNumberFormat="1" applyFont="1" applyFill="1" applyBorder="1" applyAlignment="1">
      <alignment horizontal="center" vertical="center" wrapText="1"/>
    </xf>
    <xf numFmtId="1" fontId="19" fillId="5" borderId="5" xfId="0" applyNumberFormat="1" applyFont="1" applyFill="1" applyBorder="1" applyAlignment="1">
      <alignment horizontal="center" vertical="center" wrapText="1"/>
    </xf>
    <xf numFmtId="1" fontId="24" fillId="5" borderId="0" xfId="0" applyNumberFormat="1" applyFont="1" applyFill="1" applyBorder="1" applyAlignment="1">
      <alignment horizontal="center" vertical="center" wrapText="1"/>
    </xf>
    <xf numFmtId="0" fontId="21" fillId="5" borderId="0" xfId="29" applyFont="1" applyFill="1" applyBorder="1" applyAlignment="1">
      <alignment vertical="center"/>
    </xf>
    <xf numFmtId="37" fontId="23" fillId="6" borderId="10" xfId="13" applyNumberFormat="1" applyFont="1" applyFill="1" applyBorder="1" applyAlignment="1">
      <alignment horizontal="left" vertical="center"/>
    </xf>
    <xf numFmtId="37" fontId="17" fillId="0" borderId="9" xfId="0" applyNumberFormat="1" applyFont="1" applyFill="1" applyBorder="1"/>
    <xf numFmtId="0" fontId="14" fillId="2" borderId="9" xfId="1" applyFont="1" applyFill="1" applyBorder="1" applyAlignment="1" applyProtection="1">
      <alignment horizontal="center"/>
    </xf>
    <xf numFmtId="0" fontId="17" fillId="0" borderId="9" xfId="0" applyFont="1" applyFill="1" applyBorder="1"/>
    <xf numFmtId="1" fontId="24" fillId="5" borderId="2" xfId="0" applyNumberFormat="1" applyFont="1" applyFill="1" applyBorder="1" applyAlignment="1">
      <alignment horizontal="center" vertical="center" wrapText="1"/>
    </xf>
    <xf numFmtId="1" fontId="19" fillId="5" borderId="0" xfId="0" applyNumberFormat="1" applyFont="1" applyFill="1" applyBorder="1" applyAlignment="1">
      <alignment horizontal="center" vertical="center" wrapText="1"/>
    </xf>
    <xf numFmtId="1" fontId="19" fillId="5" borderId="2" xfId="0" applyNumberFormat="1" applyFont="1" applyFill="1" applyBorder="1" applyAlignment="1">
      <alignment horizontal="center" vertical="center" wrapText="1"/>
    </xf>
    <xf numFmtId="0" fontId="4" fillId="2" borderId="9" xfId="1" applyFill="1" applyBorder="1" applyAlignment="1" applyProtection="1">
      <alignment horizontal="center"/>
    </xf>
    <xf numFmtId="0" fontId="13" fillId="0" borderId="0" xfId="0" applyFont="1"/>
    <xf numFmtId="0" fontId="13" fillId="0" borderId="0" xfId="0" applyFont="1" applyFill="1" applyBorder="1" applyAlignment="1">
      <alignment vertical="center"/>
    </xf>
    <xf numFmtId="0" fontId="8" fillId="0" borderId="0" xfId="0" applyFont="1"/>
    <xf numFmtId="165" fontId="13" fillId="0" borderId="0" xfId="12" applyFont="1" applyAlignment="1">
      <alignment horizontal="right"/>
    </xf>
    <xf numFmtId="165" fontId="13" fillId="3" borderId="0" xfId="12" applyFont="1" applyFill="1" applyAlignment="1">
      <alignment vertical="center"/>
    </xf>
    <xf numFmtId="0" fontId="13" fillId="2" borderId="0" xfId="0" applyFont="1" applyFill="1" applyAlignment="1">
      <alignment vertical="center"/>
    </xf>
    <xf numFmtId="165" fontId="13" fillId="3" borderId="0" xfId="12" applyFont="1" applyFill="1"/>
    <xf numFmtId="9" fontId="13" fillId="0" borderId="0" xfId="38" applyFont="1"/>
    <xf numFmtId="10" fontId="8" fillId="0" borderId="0" xfId="38" applyNumberFormat="1" applyFont="1"/>
    <xf numFmtId="1" fontId="19" fillId="7" borderId="19" xfId="0" applyNumberFormat="1" applyFont="1" applyFill="1" applyBorder="1" applyAlignment="1">
      <alignment horizontal="center" vertical="center"/>
    </xf>
    <xf numFmtId="0" fontId="19" fillId="7" borderId="20" xfId="0" applyFont="1" applyFill="1" applyBorder="1" applyAlignment="1">
      <alignment horizontal="center" vertical="center"/>
    </xf>
    <xf numFmtId="37" fontId="12" fillId="4" borderId="23" xfId="13" applyNumberFormat="1" applyFont="1" applyFill="1" applyBorder="1" applyAlignment="1">
      <alignment horizontal="center" vertical="center"/>
    </xf>
    <xf numFmtId="37" fontId="12" fillId="4" borderId="24" xfId="13" applyNumberFormat="1" applyFont="1" applyFill="1" applyBorder="1" applyAlignment="1">
      <alignment horizontal="center" vertical="center"/>
    </xf>
    <xf numFmtId="0" fontId="11" fillId="0" borderId="26" xfId="0" quotePrefix="1" applyNumberFormat="1" applyFont="1" applyBorder="1" applyAlignment="1">
      <alignment horizontal="center" vertical="center"/>
    </xf>
    <xf numFmtId="0" fontId="11" fillId="8" borderId="26" xfId="0" applyNumberFormat="1" applyFont="1" applyFill="1" applyBorder="1" applyAlignment="1">
      <alignment horizontal="center" vertical="center"/>
    </xf>
    <xf numFmtId="0" fontId="11" fillId="0" borderId="26" xfId="0" applyNumberFormat="1" applyFont="1" applyBorder="1" applyAlignment="1">
      <alignment horizontal="center" vertical="center"/>
    </xf>
    <xf numFmtId="9" fontId="12" fillId="4" borderId="24" xfId="32" applyFont="1" applyFill="1" applyBorder="1" applyAlignment="1">
      <alignment vertical="center"/>
    </xf>
    <xf numFmtId="9" fontId="12" fillId="4" borderId="25" xfId="32" applyFont="1" applyFill="1" applyBorder="1" applyAlignment="1">
      <alignment horizontal="center" vertical="center"/>
    </xf>
    <xf numFmtId="9" fontId="29" fillId="0" borderId="2" xfId="32" applyFont="1" applyBorder="1" applyAlignment="1">
      <alignment vertical="center"/>
    </xf>
    <xf numFmtId="9" fontId="29" fillId="8" borderId="28" xfId="32" applyFont="1" applyFill="1" applyBorder="1" applyAlignment="1">
      <alignment vertical="center"/>
    </xf>
    <xf numFmtId="9" fontId="29" fillId="8" borderId="29" xfId="32" applyFont="1" applyFill="1" applyBorder="1" applyAlignment="1">
      <alignment vertical="center"/>
    </xf>
    <xf numFmtId="9" fontId="29" fillId="0" borderId="28" xfId="32" applyFont="1" applyBorder="1" applyAlignment="1">
      <alignment vertical="center"/>
    </xf>
    <xf numFmtId="9" fontId="29" fillId="0" borderId="29" xfId="32" applyFont="1" applyBorder="1" applyAlignment="1">
      <alignment vertical="center"/>
    </xf>
    <xf numFmtId="0" fontId="11" fillId="0" borderId="30" xfId="0" applyNumberFormat="1" applyFont="1" applyBorder="1" applyAlignment="1">
      <alignment horizontal="center" vertical="center"/>
    </xf>
    <xf numFmtId="166" fontId="29" fillId="0" borderId="27" xfId="32" applyNumberFormat="1" applyFont="1" applyBorder="1" applyAlignment="1">
      <alignment vertical="center"/>
    </xf>
    <xf numFmtId="166" fontId="29" fillId="0" borderId="2" xfId="32" applyNumberFormat="1" applyFont="1" applyBorder="1" applyAlignment="1">
      <alignment vertical="center"/>
    </xf>
    <xf numFmtId="166" fontId="29" fillId="8" borderId="28" xfId="32" applyNumberFormat="1" applyFont="1" applyFill="1" applyBorder="1" applyAlignment="1">
      <alignment vertical="center"/>
    </xf>
    <xf numFmtId="166" fontId="29" fillId="0" borderId="28" xfId="32" applyNumberFormat="1" applyFont="1" applyBorder="1" applyAlignment="1">
      <alignment vertical="center"/>
    </xf>
    <xf numFmtId="166" fontId="29" fillId="0" borderId="32" xfId="32" applyNumberFormat="1" applyFont="1" applyBorder="1" applyAlignment="1">
      <alignment vertical="center"/>
    </xf>
    <xf numFmtId="0" fontId="11" fillId="0" borderId="27" xfId="0" quotePrefix="1" applyFont="1" applyBorder="1" applyAlignment="1">
      <alignment horizontal="left" vertical="center" wrapText="1"/>
    </xf>
    <xf numFmtId="0" fontId="11" fillId="8" borderId="27" xfId="0" applyFont="1" applyFill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31" xfId="0" applyFont="1" applyBorder="1" applyAlignment="1">
      <alignment horizontal="left" vertical="center" wrapText="1"/>
    </xf>
    <xf numFmtId="165" fontId="12" fillId="4" borderId="24" xfId="2" applyFont="1" applyFill="1" applyBorder="1" applyAlignment="1">
      <alignment vertical="center"/>
    </xf>
    <xf numFmtId="168" fontId="12" fillId="4" borderId="24" xfId="2" applyNumberFormat="1" applyFont="1" applyFill="1" applyBorder="1" applyAlignment="1">
      <alignment vertical="center"/>
    </xf>
    <xf numFmtId="165" fontId="29" fillId="0" borderId="27" xfId="2" applyFont="1" applyBorder="1" applyAlignment="1">
      <alignment vertical="center"/>
    </xf>
    <xf numFmtId="165" fontId="29" fillId="0" borderId="2" xfId="2" applyFont="1" applyBorder="1" applyAlignment="1">
      <alignment vertical="center"/>
    </xf>
    <xf numFmtId="165" fontId="29" fillId="8" borderId="28" xfId="2" applyFont="1" applyFill="1" applyBorder="1" applyAlignment="1">
      <alignment vertical="center"/>
    </xf>
    <xf numFmtId="165" fontId="29" fillId="8" borderId="29" xfId="2" applyFont="1" applyFill="1" applyBorder="1" applyAlignment="1">
      <alignment vertical="center"/>
    </xf>
    <xf numFmtId="165" fontId="29" fillId="0" borderId="28" xfId="2" applyFont="1" applyBorder="1" applyAlignment="1">
      <alignment vertical="center"/>
    </xf>
    <xf numFmtId="165" fontId="29" fillId="0" borderId="29" xfId="2" applyFont="1" applyBorder="1" applyAlignment="1">
      <alignment vertical="center"/>
    </xf>
    <xf numFmtId="165" fontId="29" fillId="0" borderId="32" xfId="2" applyFont="1" applyBorder="1" applyAlignment="1">
      <alignment vertical="center"/>
    </xf>
    <xf numFmtId="165" fontId="29" fillId="0" borderId="33" xfId="2" applyFont="1" applyBorder="1" applyAlignment="1">
      <alignment vertical="center"/>
    </xf>
    <xf numFmtId="167" fontId="29" fillId="8" borderId="28" xfId="2" applyNumberFormat="1" applyFont="1" applyFill="1" applyBorder="1" applyAlignment="1">
      <alignment vertical="center"/>
    </xf>
    <xf numFmtId="168" fontId="29" fillId="0" borderId="27" xfId="2" applyNumberFormat="1" applyFont="1" applyBorder="1" applyAlignment="1">
      <alignment vertical="center"/>
    </xf>
    <xf numFmtId="168" fontId="29" fillId="0" borderId="2" xfId="2" applyNumberFormat="1" applyFont="1" applyBorder="1" applyAlignment="1">
      <alignment vertical="center"/>
    </xf>
    <xf numFmtId="168" fontId="29" fillId="8" borderId="28" xfId="2" applyNumberFormat="1" applyFont="1" applyFill="1" applyBorder="1" applyAlignment="1">
      <alignment vertical="center"/>
    </xf>
    <xf numFmtId="168" fontId="29" fillId="8" borderId="29" xfId="2" applyNumberFormat="1" applyFont="1" applyFill="1" applyBorder="1" applyAlignment="1">
      <alignment vertical="center"/>
    </xf>
    <xf numFmtId="168" fontId="29" fillId="0" borderId="28" xfId="2" applyNumberFormat="1" applyFont="1" applyBorder="1" applyAlignment="1">
      <alignment vertical="center"/>
    </xf>
    <xf numFmtId="168" fontId="29" fillId="0" borderId="29" xfId="2" applyNumberFormat="1" applyFont="1" applyBorder="1" applyAlignment="1">
      <alignment vertical="center"/>
    </xf>
    <xf numFmtId="168" fontId="29" fillId="0" borderId="32" xfId="2" applyNumberFormat="1" applyFont="1" applyBorder="1" applyAlignment="1">
      <alignment vertical="center"/>
    </xf>
    <xf numFmtId="168" fontId="12" fillId="4" borderId="25" xfId="2" applyNumberFormat="1" applyFont="1" applyFill="1" applyBorder="1" applyAlignment="1">
      <alignment vertical="center"/>
    </xf>
    <xf numFmtId="9" fontId="12" fillId="4" borderId="25" xfId="32" applyFont="1" applyFill="1" applyBorder="1" applyAlignment="1">
      <alignment vertical="center"/>
    </xf>
    <xf numFmtId="166" fontId="12" fillId="4" borderId="24" xfId="32" applyNumberFormat="1" applyFont="1" applyFill="1" applyBorder="1" applyAlignment="1">
      <alignment vertical="center"/>
    </xf>
    <xf numFmtId="166" fontId="12" fillId="4" borderId="25" xfId="32" applyNumberFormat="1" applyFont="1" applyFill="1" applyBorder="1" applyAlignment="1">
      <alignment vertical="center"/>
    </xf>
    <xf numFmtId="166" fontId="29" fillId="8" borderId="29" xfId="32" applyNumberFormat="1" applyFont="1" applyFill="1" applyBorder="1" applyAlignment="1">
      <alignment vertical="center"/>
    </xf>
    <xf numFmtId="166" fontId="29" fillId="0" borderId="29" xfId="32" applyNumberFormat="1" applyFont="1" applyBorder="1" applyAlignment="1">
      <alignment vertical="center"/>
    </xf>
    <xf numFmtId="166" fontId="29" fillId="0" borderId="33" xfId="32" applyNumberFormat="1" applyFont="1" applyBorder="1" applyAlignment="1">
      <alignment vertical="center"/>
    </xf>
    <xf numFmtId="0" fontId="11" fillId="8" borderId="30" xfId="0" applyNumberFormat="1" applyFont="1" applyFill="1" applyBorder="1" applyAlignment="1">
      <alignment horizontal="center" vertical="center"/>
    </xf>
    <xf numFmtId="168" fontId="29" fillId="8" borderId="32" xfId="2" applyNumberFormat="1" applyFont="1" applyFill="1" applyBorder="1" applyAlignment="1">
      <alignment vertical="center"/>
    </xf>
    <xf numFmtId="166" fontId="29" fillId="8" borderId="32" xfId="32" applyNumberFormat="1" applyFont="1" applyFill="1" applyBorder="1" applyAlignment="1">
      <alignment vertical="center"/>
    </xf>
    <xf numFmtId="166" fontId="29" fillId="8" borderId="33" xfId="32" applyNumberFormat="1" applyFont="1" applyFill="1" applyBorder="1" applyAlignment="1">
      <alignment vertical="center"/>
    </xf>
    <xf numFmtId="0" fontId="11" fillId="0" borderId="26" xfId="0" quotePrefix="1" applyNumberFormat="1" applyFont="1" applyBorder="1" applyAlignment="1">
      <alignment horizontal="left" vertical="center"/>
    </xf>
    <xf numFmtId="0" fontId="11" fillId="8" borderId="26" xfId="0" applyNumberFormat="1" applyFont="1" applyFill="1" applyBorder="1" applyAlignment="1">
      <alignment horizontal="left" vertical="center"/>
    </xf>
    <xf numFmtId="0" fontId="11" fillId="0" borderId="26" xfId="0" applyNumberFormat="1" applyFont="1" applyBorder="1" applyAlignment="1">
      <alignment horizontal="left" vertical="center"/>
    </xf>
    <xf numFmtId="0" fontId="11" fillId="8" borderId="30" xfId="0" applyNumberFormat="1" applyFont="1" applyFill="1" applyBorder="1" applyAlignment="1">
      <alignment horizontal="left" vertical="center"/>
    </xf>
    <xf numFmtId="9" fontId="29" fillId="8" borderId="32" xfId="32" applyFont="1" applyFill="1" applyBorder="1" applyAlignment="1">
      <alignment vertical="center"/>
    </xf>
    <xf numFmtId="10" fontId="29" fillId="0" borderId="27" xfId="32" applyNumberFormat="1" applyFont="1" applyBorder="1" applyAlignment="1">
      <alignment vertical="center"/>
    </xf>
    <xf numFmtId="10" fontId="29" fillId="0" borderId="2" xfId="32" applyNumberFormat="1" applyFont="1" applyBorder="1" applyAlignment="1">
      <alignment vertical="center"/>
    </xf>
    <xf numFmtId="10" fontId="29" fillId="8" borderId="28" xfId="32" applyNumberFormat="1" applyFont="1" applyFill="1" applyBorder="1" applyAlignment="1">
      <alignment vertical="center"/>
    </xf>
    <xf numFmtId="10" fontId="29" fillId="0" borderId="28" xfId="32" applyNumberFormat="1" applyFont="1" applyBorder="1" applyAlignment="1">
      <alignment vertical="center"/>
    </xf>
    <xf numFmtId="10" fontId="29" fillId="8" borderId="32" xfId="32" applyNumberFormat="1" applyFont="1" applyFill="1" applyBorder="1" applyAlignment="1">
      <alignment vertical="center"/>
    </xf>
    <xf numFmtId="10" fontId="5" fillId="2" borderId="0" xfId="32" applyNumberFormat="1" applyFont="1" applyFill="1" applyAlignment="1">
      <alignment vertical="center"/>
    </xf>
    <xf numFmtId="10" fontId="5" fillId="2" borderId="0" xfId="32" applyNumberFormat="1" applyFont="1" applyFill="1" applyAlignment="1">
      <alignment horizontal="center" vertical="center"/>
    </xf>
    <xf numFmtId="10" fontId="12" fillId="4" borderId="24" xfId="32" applyNumberFormat="1" applyFont="1" applyFill="1" applyBorder="1" applyAlignment="1">
      <alignment vertical="center"/>
    </xf>
    <xf numFmtId="165" fontId="29" fillId="8" borderId="32" xfId="2" applyFont="1" applyFill="1" applyBorder="1" applyAlignment="1">
      <alignment vertical="center"/>
    </xf>
    <xf numFmtId="0" fontId="17" fillId="3" borderId="43" xfId="0" applyFont="1" applyFill="1" applyBorder="1" applyAlignment="1">
      <alignment vertical="center"/>
    </xf>
    <xf numFmtId="10" fontId="29" fillId="0" borderId="26" xfId="32" applyNumberFormat="1" applyFont="1" applyBorder="1" applyAlignment="1">
      <alignment vertical="center"/>
    </xf>
    <xf numFmtId="0" fontId="22" fillId="8" borderId="26" xfId="0" applyNumberFormat="1" applyFont="1" applyFill="1" applyBorder="1" applyAlignment="1">
      <alignment horizontal="right" vertical="center"/>
    </xf>
    <xf numFmtId="0" fontId="22" fillId="3" borderId="0" xfId="0" applyFont="1" applyFill="1" applyBorder="1" applyAlignment="1">
      <alignment horizontal="right" vertical="center" indent="1"/>
    </xf>
    <xf numFmtId="0" fontId="22" fillId="8" borderId="30" xfId="0" applyNumberFormat="1" applyFont="1" applyFill="1" applyBorder="1" applyAlignment="1">
      <alignment horizontal="right" vertical="center"/>
    </xf>
    <xf numFmtId="0" fontId="17" fillId="8" borderId="45" xfId="0" applyNumberFormat="1" applyFont="1" applyFill="1" applyBorder="1" applyAlignment="1">
      <alignment horizontal="left" vertical="center"/>
    </xf>
    <xf numFmtId="165" fontId="29" fillId="8" borderId="33" xfId="2" applyFont="1" applyFill="1" applyBorder="1" applyAlignment="1">
      <alignment vertical="center"/>
    </xf>
    <xf numFmtId="0" fontId="17" fillId="3" borderId="6" xfId="0" applyFont="1" applyFill="1" applyBorder="1" applyAlignment="1">
      <alignment vertical="center"/>
    </xf>
    <xf numFmtId="0" fontId="22" fillId="3" borderId="3" xfId="0" applyFont="1" applyFill="1" applyBorder="1" applyAlignment="1">
      <alignment horizontal="right" vertical="center" indent="1"/>
    </xf>
    <xf numFmtId="0" fontId="22" fillId="3" borderId="4" xfId="0" applyFont="1" applyFill="1" applyBorder="1" applyAlignment="1">
      <alignment horizontal="right" vertical="center" indent="1"/>
    </xf>
    <xf numFmtId="10" fontId="29" fillId="0" borderId="32" xfId="32" applyNumberFormat="1" applyFont="1" applyBorder="1" applyAlignment="1">
      <alignment vertical="center"/>
    </xf>
    <xf numFmtId="168" fontId="29" fillId="0" borderId="44" xfId="2" applyNumberFormat="1" applyFont="1" applyBorder="1" applyAlignment="1">
      <alignment vertical="center"/>
    </xf>
    <xf numFmtId="168" fontId="29" fillId="8" borderId="46" xfId="2" applyNumberFormat="1" applyFont="1" applyFill="1" applyBorder="1" applyAlignment="1">
      <alignment vertical="center"/>
    </xf>
    <xf numFmtId="10" fontId="5" fillId="3" borderId="0" xfId="0" applyNumberFormat="1" applyFont="1" applyFill="1" applyBorder="1" applyAlignment="1">
      <alignment vertical="center"/>
    </xf>
    <xf numFmtId="0" fontId="11" fillId="0" borderId="47" xfId="0" quotePrefix="1" applyNumberFormat="1" applyFont="1" applyBorder="1" applyAlignment="1">
      <alignment horizontal="left" vertical="center"/>
    </xf>
    <xf numFmtId="0" fontId="11" fillId="8" borderId="3" xfId="0" applyNumberFormat="1" applyFont="1" applyFill="1" applyBorder="1" applyAlignment="1">
      <alignment horizontal="left" vertical="center"/>
    </xf>
    <xf numFmtId="0" fontId="11" fillId="0" borderId="3" xfId="0" applyNumberFormat="1" applyFont="1" applyBorder="1" applyAlignment="1">
      <alignment horizontal="left" vertical="center"/>
    </xf>
    <xf numFmtId="0" fontId="11" fillId="8" borderId="4" xfId="0" applyNumberFormat="1" applyFont="1" applyFill="1" applyBorder="1" applyAlignment="1">
      <alignment horizontal="left" vertical="center"/>
    </xf>
    <xf numFmtId="1" fontId="19" fillId="7" borderId="16" xfId="0" applyNumberFormat="1" applyFont="1" applyFill="1" applyBorder="1" applyAlignment="1">
      <alignment horizontal="center" vertical="center"/>
    </xf>
    <xf numFmtId="0" fontId="19" fillId="7" borderId="50" xfId="0" applyFont="1" applyFill="1" applyBorder="1" applyAlignment="1">
      <alignment horizontal="center" vertical="center"/>
    </xf>
    <xf numFmtId="168" fontId="12" fillId="4" borderId="24" xfId="33" applyNumberFormat="1" applyFont="1" applyFill="1" applyBorder="1" applyAlignment="1">
      <alignment vertical="center"/>
    </xf>
    <xf numFmtId="9" fontId="12" fillId="4" borderId="24" xfId="33" applyFont="1" applyFill="1" applyBorder="1" applyAlignment="1">
      <alignment vertical="center"/>
    </xf>
    <xf numFmtId="166" fontId="12" fillId="4" borderId="25" xfId="33" applyNumberFormat="1" applyFont="1" applyFill="1" applyBorder="1" applyAlignment="1">
      <alignment vertical="center"/>
    </xf>
    <xf numFmtId="10" fontId="29" fillId="0" borderId="27" xfId="33" applyNumberFormat="1" applyFont="1" applyBorder="1" applyAlignment="1">
      <alignment vertical="center"/>
    </xf>
    <xf numFmtId="168" fontId="29" fillId="0" borderId="27" xfId="13" applyNumberFormat="1" applyFont="1" applyBorder="1" applyAlignment="1">
      <alignment vertical="center"/>
    </xf>
    <xf numFmtId="10" fontId="29" fillId="0" borderId="2" xfId="33" applyNumberFormat="1" applyFont="1" applyBorder="1" applyAlignment="1">
      <alignment vertical="center"/>
    </xf>
    <xf numFmtId="10" fontId="29" fillId="8" borderId="27" xfId="33" applyNumberFormat="1" applyFont="1" applyFill="1" applyBorder="1" applyAlignment="1">
      <alignment vertical="center"/>
    </xf>
    <xf numFmtId="168" fontId="29" fillId="8" borderId="28" xfId="13" applyNumberFormat="1" applyFont="1" applyFill="1" applyBorder="1" applyAlignment="1">
      <alignment vertical="center"/>
    </xf>
    <xf numFmtId="10" fontId="29" fillId="8" borderId="28" xfId="33" applyNumberFormat="1" applyFont="1" applyFill="1" applyBorder="1" applyAlignment="1">
      <alignment vertical="center"/>
    </xf>
    <xf numFmtId="10" fontId="29" fillId="8" borderId="29" xfId="33" applyNumberFormat="1" applyFont="1" applyFill="1" applyBorder="1" applyAlignment="1">
      <alignment vertical="center"/>
    </xf>
    <xf numFmtId="168" fontId="29" fillId="0" borderId="28" xfId="13" applyNumberFormat="1" applyFont="1" applyBorder="1" applyAlignment="1">
      <alignment vertical="center"/>
    </xf>
    <xf numFmtId="10" fontId="29" fillId="0" borderId="28" xfId="33" applyNumberFormat="1" applyFont="1" applyBorder="1" applyAlignment="1">
      <alignment vertical="center"/>
    </xf>
    <xf numFmtId="10" fontId="29" fillId="0" borderId="29" xfId="33" applyNumberFormat="1" applyFont="1" applyBorder="1" applyAlignment="1">
      <alignment vertical="center"/>
    </xf>
    <xf numFmtId="10" fontId="30" fillId="8" borderId="27" xfId="33" applyNumberFormat="1" applyFont="1" applyFill="1" applyBorder="1" applyAlignment="1">
      <alignment vertical="center"/>
    </xf>
    <xf numFmtId="168" fontId="30" fillId="8" borderId="28" xfId="13" applyNumberFormat="1" applyFont="1" applyFill="1" applyBorder="1" applyAlignment="1">
      <alignment vertical="center"/>
    </xf>
    <xf numFmtId="10" fontId="30" fillId="8" borderId="28" xfId="33" applyNumberFormat="1" applyFont="1" applyFill="1" applyBorder="1" applyAlignment="1">
      <alignment vertical="center"/>
    </xf>
    <xf numFmtId="10" fontId="30" fillId="8" borderId="29" xfId="33" applyNumberFormat="1" applyFont="1" applyFill="1" applyBorder="1" applyAlignment="1">
      <alignment vertical="center"/>
    </xf>
    <xf numFmtId="10" fontId="30" fillId="0" borderId="27" xfId="33" applyNumberFormat="1" applyFont="1" applyBorder="1" applyAlignment="1">
      <alignment vertical="center"/>
    </xf>
    <xf numFmtId="168" fontId="30" fillId="0" borderId="28" xfId="13" applyNumberFormat="1" applyFont="1" applyBorder="1" applyAlignment="1">
      <alignment vertical="center"/>
    </xf>
    <xf numFmtId="10" fontId="30" fillId="0" borderId="28" xfId="33" applyNumberFormat="1" applyFont="1" applyBorder="1" applyAlignment="1">
      <alignment vertical="center"/>
    </xf>
    <xf numFmtId="10" fontId="30" fillId="0" borderId="29" xfId="33" applyNumberFormat="1" applyFont="1" applyBorder="1" applyAlignment="1">
      <alignment vertical="center"/>
    </xf>
    <xf numFmtId="10" fontId="29" fillId="8" borderId="31" xfId="33" applyNumberFormat="1" applyFont="1" applyFill="1" applyBorder="1" applyAlignment="1">
      <alignment vertical="center"/>
    </xf>
    <xf numFmtId="168" fontId="29" fillId="8" borderId="32" xfId="13" applyNumberFormat="1" applyFont="1" applyFill="1" applyBorder="1" applyAlignment="1">
      <alignment vertical="center"/>
    </xf>
    <xf numFmtId="10" fontId="29" fillId="8" borderId="32" xfId="33" applyNumberFormat="1" applyFont="1" applyFill="1" applyBorder="1" applyAlignment="1">
      <alignment vertical="center"/>
    </xf>
    <xf numFmtId="10" fontId="29" fillId="8" borderId="33" xfId="33" applyNumberFormat="1" applyFont="1" applyFill="1" applyBorder="1" applyAlignment="1">
      <alignment vertical="center"/>
    </xf>
    <xf numFmtId="9" fontId="12" fillId="4" borderId="53" xfId="33" applyFont="1" applyFill="1" applyBorder="1" applyAlignment="1">
      <alignment vertical="center"/>
    </xf>
    <xf numFmtId="168" fontId="12" fillId="4" borderId="53" xfId="33" applyNumberFormat="1" applyFont="1" applyFill="1" applyBorder="1" applyAlignment="1">
      <alignment vertical="center"/>
    </xf>
    <xf numFmtId="1" fontId="24" fillId="5" borderId="21" xfId="0" applyNumberFormat="1" applyFont="1" applyFill="1" applyBorder="1" applyAlignment="1">
      <alignment horizontal="center" vertical="center" wrapText="1"/>
    </xf>
    <xf numFmtId="1" fontId="24" fillId="5" borderId="37" xfId="0" applyNumberFormat="1" applyFont="1" applyFill="1" applyBorder="1" applyAlignment="1">
      <alignment horizontal="center" vertical="center" wrapText="1"/>
    </xf>
    <xf numFmtId="1" fontId="24" fillId="5" borderId="19" xfId="0" applyNumberFormat="1" applyFont="1" applyFill="1" applyBorder="1" applyAlignment="1">
      <alignment horizontal="center" vertical="center" wrapText="1"/>
    </xf>
    <xf numFmtId="1" fontId="24" fillId="5" borderId="55" xfId="0" applyNumberFormat="1" applyFont="1" applyFill="1" applyBorder="1" applyAlignment="1">
      <alignment horizontal="center" vertical="center" wrapText="1"/>
    </xf>
    <xf numFmtId="9" fontId="12" fillId="4" borderId="35" xfId="33" applyFont="1" applyFill="1" applyBorder="1" applyAlignment="1">
      <alignment vertical="center"/>
    </xf>
    <xf numFmtId="165" fontId="12" fillId="4" borderId="53" xfId="2" applyFont="1" applyFill="1" applyBorder="1" applyAlignment="1">
      <alignment vertical="center"/>
    </xf>
    <xf numFmtId="165" fontId="30" fillId="8" borderId="28" xfId="2" applyFont="1" applyFill="1" applyBorder="1" applyAlignment="1">
      <alignment vertical="center"/>
    </xf>
    <xf numFmtId="165" fontId="30" fillId="0" borderId="28" xfId="2" applyFont="1" applyBorder="1" applyAlignment="1">
      <alignment vertical="center"/>
    </xf>
    <xf numFmtId="166" fontId="12" fillId="4" borderId="53" xfId="32" applyNumberFormat="1" applyFont="1" applyFill="1" applyBorder="1" applyAlignment="1">
      <alignment vertical="center"/>
    </xf>
    <xf numFmtId="166" fontId="30" fillId="8" borderId="28" xfId="32" applyNumberFormat="1" applyFont="1" applyFill="1" applyBorder="1" applyAlignment="1">
      <alignment vertical="center"/>
    </xf>
    <xf numFmtId="166" fontId="30" fillId="0" borderId="28" xfId="32" applyNumberFormat="1" applyFont="1" applyBorder="1" applyAlignment="1">
      <alignment vertical="center"/>
    </xf>
    <xf numFmtId="10" fontId="12" fillId="4" borderId="53" xfId="32" applyNumberFormat="1" applyFont="1" applyFill="1" applyBorder="1" applyAlignment="1">
      <alignment vertical="center"/>
    </xf>
    <xf numFmtId="10" fontId="30" fillId="8" borderId="28" xfId="32" applyNumberFormat="1" applyFont="1" applyFill="1" applyBorder="1" applyAlignment="1">
      <alignment vertical="center"/>
    </xf>
    <xf numFmtId="10" fontId="30" fillId="0" borderId="28" xfId="32" applyNumberFormat="1" applyFont="1" applyBorder="1" applyAlignment="1">
      <alignment vertical="center"/>
    </xf>
    <xf numFmtId="1" fontId="28" fillId="5" borderId="21" xfId="0" applyNumberFormat="1" applyFont="1" applyFill="1" applyBorder="1" applyAlignment="1">
      <alignment horizontal="center" vertical="center" wrapText="1"/>
    </xf>
    <xf numFmtId="1" fontId="28" fillId="5" borderId="19" xfId="0" applyNumberFormat="1" applyFont="1" applyFill="1" applyBorder="1" applyAlignment="1">
      <alignment horizontal="center" vertical="center" wrapText="1"/>
    </xf>
    <xf numFmtId="1" fontId="28" fillId="5" borderId="37" xfId="0" applyNumberFormat="1" applyFont="1" applyFill="1" applyBorder="1" applyAlignment="1">
      <alignment horizontal="center" vertical="center" wrapText="1"/>
    </xf>
    <xf numFmtId="1" fontId="28" fillId="5" borderId="55" xfId="0" applyNumberFormat="1" applyFont="1" applyFill="1" applyBorder="1" applyAlignment="1">
      <alignment horizontal="center" vertical="center" wrapText="1"/>
    </xf>
    <xf numFmtId="1" fontId="24" fillId="5" borderId="17" xfId="0" applyNumberFormat="1" applyFont="1" applyFill="1" applyBorder="1" applyAlignment="1">
      <alignment horizontal="center" vertical="center" wrapText="1"/>
    </xf>
    <xf numFmtId="1" fontId="24" fillId="5" borderId="22" xfId="0" applyNumberFormat="1" applyFont="1" applyFill="1" applyBorder="1" applyAlignment="1">
      <alignment horizontal="center" vertical="center" wrapText="1"/>
    </xf>
    <xf numFmtId="10" fontId="29" fillId="8" borderId="29" xfId="32" applyNumberFormat="1" applyFont="1" applyFill="1" applyBorder="1" applyAlignment="1">
      <alignment vertical="center"/>
    </xf>
    <xf numFmtId="10" fontId="29" fillId="0" borderId="29" xfId="32" applyNumberFormat="1" applyFont="1" applyBorder="1" applyAlignment="1">
      <alignment vertical="center"/>
    </xf>
    <xf numFmtId="10" fontId="29" fillId="8" borderId="33" xfId="32" applyNumberFormat="1" applyFont="1" applyFill="1" applyBorder="1" applyAlignment="1">
      <alignment vertical="center"/>
    </xf>
    <xf numFmtId="168" fontId="29" fillId="0" borderId="60" xfId="2" applyNumberFormat="1" applyFont="1" applyBorder="1" applyAlignment="1">
      <alignment vertical="center"/>
    </xf>
    <xf numFmtId="166" fontId="29" fillId="0" borderId="59" xfId="32" applyNumberFormat="1" applyFont="1" applyBorder="1" applyAlignment="1">
      <alignment vertical="center"/>
    </xf>
    <xf numFmtId="166" fontId="29" fillId="8" borderId="59" xfId="32" applyNumberFormat="1" applyFont="1" applyFill="1" applyBorder="1" applyAlignment="1">
      <alignment vertical="center"/>
    </xf>
    <xf numFmtId="166" fontId="29" fillId="8" borderId="36" xfId="32" applyNumberFormat="1" applyFont="1" applyFill="1" applyBorder="1" applyAlignment="1">
      <alignment vertical="center"/>
    </xf>
    <xf numFmtId="37" fontId="12" fillId="4" borderId="23" xfId="13" applyNumberFormat="1" applyFont="1" applyFill="1" applyBorder="1" applyAlignment="1">
      <alignment horizontal="left" vertical="center"/>
    </xf>
    <xf numFmtId="1" fontId="19" fillId="5" borderId="38" xfId="0" applyNumberFormat="1" applyFont="1" applyFill="1" applyBorder="1" applyAlignment="1">
      <alignment horizontal="center" vertical="center" wrapText="1"/>
    </xf>
    <xf numFmtId="0" fontId="19" fillId="7" borderId="50" xfId="0" applyFont="1" applyFill="1" applyBorder="1" applyAlignment="1">
      <alignment horizontal="center" vertical="center" wrapText="1"/>
    </xf>
    <xf numFmtId="1" fontId="19" fillId="7" borderId="16" xfId="0" applyNumberFormat="1" applyFont="1" applyFill="1" applyBorder="1" applyAlignment="1">
      <alignment horizontal="center" vertical="center" wrapText="1"/>
    </xf>
    <xf numFmtId="0" fontId="19" fillId="7" borderId="61" xfId="0" applyFont="1" applyFill="1" applyBorder="1" applyAlignment="1">
      <alignment horizontal="center" vertical="center" wrapText="1"/>
    </xf>
    <xf numFmtId="168" fontId="29" fillId="8" borderId="33" xfId="2" applyNumberFormat="1" applyFont="1" applyFill="1" applyBorder="1" applyAlignment="1">
      <alignment vertical="center"/>
    </xf>
    <xf numFmtId="0" fontId="25" fillId="7" borderId="50" xfId="0" applyFont="1" applyFill="1" applyBorder="1" applyAlignment="1">
      <alignment horizontal="center" vertical="center" wrapText="1"/>
    </xf>
    <xf numFmtId="1" fontId="25" fillId="7" borderId="16" xfId="0" applyNumberFormat="1" applyFont="1" applyFill="1" applyBorder="1" applyAlignment="1">
      <alignment horizontal="center" vertical="center" wrapText="1"/>
    </xf>
    <xf numFmtId="166" fontId="12" fillId="4" borderId="53" xfId="33" applyNumberFormat="1" applyFont="1" applyFill="1" applyBorder="1" applyAlignment="1">
      <alignment vertical="center"/>
    </xf>
    <xf numFmtId="10" fontId="12" fillId="4" borderId="53" xfId="33" applyNumberFormat="1" applyFont="1" applyFill="1" applyBorder="1" applyAlignment="1">
      <alignment vertical="center"/>
    </xf>
    <xf numFmtId="9" fontId="12" fillId="4" borderId="24" xfId="32" applyNumberFormat="1" applyFont="1" applyFill="1" applyBorder="1" applyAlignment="1">
      <alignment vertical="center"/>
    </xf>
    <xf numFmtId="166" fontId="30" fillId="8" borderId="29" xfId="32" applyNumberFormat="1" applyFont="1" applyFill="1" applyBorder="1" applyAlignment="1">
      <alignment vertical="center"/>
    </xf>
    <xf numFmtId="166" fontId="30" fillId="0" borderId="29" xfId="32" applyNumberFormat="1" applyFont="1" applyBorder="1" applyAlignment="1">
      <alignment vertical="center"/>
    </xf>
    <xf numFmtId="0" fontId="11" fillId="0" borderId="4" xfId="0" applyNumberFormat="1" applyFont="1" applyBorder="1" applyAlignment="1">
      <alignment horizontal="left" vertical="center"/>
    </xf>
    <xf numFmtId="10" fontId="29" fillId="0" borderId="31" xfId="33" applyNumberFormat="1" applyFont="1" applyBorder="1" applyAlignment="1">
      <alignment vertical="center"/>
    </xf>
    <xf numFmtId="168" fontId="29" fillId="0" borderId="32" xfId="13" applyNumberFormat="1" applyFont="1" applyBorder="1" applyAlignment="1">
      <alignment vertical="center"/>
    </xf>
    <xf numFmtId="166" fontId="29" fillId="0" borderId="27" xfId="33" applyNumberFormat="1" applyFont="1" applyBorder="1" applyAlignment="1">
      <alignment vertical="center"/>
    </xf>
    <xf numFmtId="166" fontId="29" fillId="8" borderId="28" xfId="33" applyNumberFormat="1" applyFont="1" applyFill="1" applyBorder="1" applyAlignment="1">
      <alignment vertical="center"/>
    </xf>
    <xf numFmtId="166" fontId="29" fillId="0" borderId="28" xfId="33" applyNumberFormat="1" applyFont="1" applyBorder="1" applyAlignment="1">
      <alignment vertical="center"/>
    </xf>
    <xf numFmtId="166" fontId="30" fillId="8" borderId="28" xfId="33" applyNumberFormat="1" applyFont="1" applyFill="1" applyBorder="1" applyAlignment="1">
      <alignment vertical="center"/>
    </xf>
    <xf numFmtId="166" fontId="30" fillId="0" borderId="28" xfId="33" applyNumberFormat="1" applyFont="1" applyBorder="1" applyAlignment="1">
      <alignment vertical="center"/>
    </xf>
    <xf numFmtId="166" fontId="29" fillId="8" borderId="32" xfId="33" applyNumberFormat="1" applyFont="1" applyFill="1" applyBorder="1" applyAlignment="1">
      <alignment vertical="center"/>
    </xf>
    <xf numFmtId="165" fontId="12" fillId="4" borderId="24" xfId="32" applyNumberFormat="1" applyFont="1" applyFill="1" applyBorder="1" applyAlignment="1">
      <alignment vertical="center"/>
    </xf>
    <xf numFmtId="0" fontId="24" fillId="7" borderId="50" xfId="0" applyFont="1" applyFill="1" applyBorder="1" applyAlignment="1">
      <alignment horizontal="center" vertical="center" wrapText="1"/>
    </xf>
    <xf numFmtId="9" fontId="12" fillId="4" borderId="53" xfId="32" applyNumberFormat="1" applyFont="1" applyFill="1" applyBorder="1" applyAlignment="1">
      <alignment vertical="center"/>
    </xf>
    <xf numFmtId="1" fontId="28" fillId="7" borderId="16" xfId="0" applyNumberFormat="1" applyFont="1" applyFill="1" applyBorder="1" applyAlignment="1">
      <alignment horizontal="center" vertical="center" wrapText="1"/>
    </xf>
    <xf numFmtId="1" fontId="28" fillId="7" borderId="51" xfId="0" applyNumberFormat="1" applyFont="1" applyFill="1" applyBorder="1" applyAlignment="1">
      <alignment horizontal="center" vertical="center" wrapText="1"/>
    </xf>
    <xf numFmtId="9" fontId="12" fillId="4" borderId="35" xfId="32" applyNumberFormat="1" applyFont="1" applyFill="1" applyBorder="1" applyAlignment="1">
      <alignment vertical="center"/>
    </xf>
    <xf numFmtId="1" fontId="19" fillId="5" borderId="52" xfId="0" applyNumberFormat="1" applyFont="1" applyFill="1" applyBorder="1" applyAlignment="1">
      <alignment horizontal="center" vertical="center" wrapText="1"/>
    </xf>
    <xf numFmtId="165" fontId="12" fillId="4" borderId="53" xfId="2" applyNumberFormat="1" applyFont="1" applyFill="1" applyBorder="1" applyAlignment="1">
      <alignment vertical="center"/>
    </xf>
    <xf numFmtId="165" fontId="29" fillId="0" borderId="27" xfId="2" applyNumberFormat="1" applyFont="1" applyBorder="1" applyAlignment="1">
      <alignment vertical="center"/>
    </xf>
    <xf numFmtId="165" fontId="29" fillId="8" borderId="28" xfId="2" applyNumberFormat="1" applyFont="1" applyFill="1" applyBorder="1" applyAlignment="1">
      <alignment vertical="center"/>
    </xf>
    <xf numFmtId="165" fontId="29" fillId="0" borderId="28" xfId="2" applyNumberFormat="1" applyFont="1" applyBorder="1" applyAlignment="1">
      <alignment vertical="center"/>
    </xf>
    <xf numFmtId="165" fontId="30" fillId="8" borderId="28" xfId="2" applyNumberFormat="1" applyFont="1" applyFill="1" applyBorder="1" applyAlignment="1">
      <alignment vertical="center"/>
    </xf>
    <xf numFmtId="165" fontId="30" fillId="0" borderId="28" xfId="2" applyNumberFormat="1" applyFont="1" applyBorder="1" applyAlignment="1">
      <alignment vertical="center"/>
    </xf>
    <xf numFmtId="165" fontId="29" fillId="8" borderId="32" xfId="2" applyNumberFormat="1" applyFont="1" applyFill="1" applyBorder="1" applyAlignment="1">
      <alignment vertical="center"/>
    </xf>
    <xf numFmtId="37" fontId="12" fillId="4" borderId="57" xfId="13" applyNumberFormat="1" applyFont="1" applyFill="1" applyBorder="1" applyAlignment="1">
      <alignment horizontal="center" vertical="center"/>
    </xf>
    <xf numFmtId="10" fontId="29" fillId="0" borderId="0" xfId="33" applyNumberFormat="1" applyFont="1" applyBorder="1" applyAlignment="1">
      <alignment vertical="center"/>
    </xf>
    <xf numFmtId="10" fontId="29" fillId="8" borderId="0" xfId="33" applyNumberFormat="1" applyFont="1" applyFill="1" applyBorder="1" applyAlignment="1">
      <alignment vertical="center"/>
    </xf>
    <xf numFmtId="10" fontId="31" fillId="8" borderId="0" xfId="33" applyNumberFormat="1" applyFont="1" applyFill="1" applyBorder="1" applyAlignment="1">
      <alignment vertical="center"/>
    </xf>
    <xf numFmtId="10" fontId="31" fillId="0" borderId="0" xfId="33" applyNumberFormat="1" applyFont="1" applyBorder="1" applyAlignment="1">
      <alignment vertical="center"/>
    </xf>
    <xf numFmtId="10" fontId="29" fillId="8" borderId="1" xfId="33" applyNumberFormat="1" applyFont="1" applyFill="1" applyBorder="1" applyAlignment="1">
      <alignment vertical="center"/>
    </xf>
    <xf numFmtId="165" fontId="12" fillId="4" borderId="35" xfId="2" applyFont="1" applyFill="1" applyBorder="1" applyAlignment="1">
      <alignment vertical="center"/>
    </xf>
    <xf numFmtId="165" fontId="30" fillId="8" borderId="29" xfId="2" applyFont="1" applyFill="1" applyBorder="1" applyAlignment="1">
      <alignment vertical="center"/>
    </xf>
    <xf numFmtId="165" fontId="30" fillId="0" borderId="29" xfId="2" applyFont="1" applyBorder="1" applyAlignment="1">
      <alignment vertical="center"/>
    </xf>
    <xf numFmtId="0" fontId="28" fillId="7" borderId="50" xfId="0" applyFont="1" applyFill="1" applyBorder="1" applyAlignment="1">
      <alignment horizontal="center" vertical="center" wrapText="1"/>
    </xf>
    <xf numFmtId="168" fontId="12" fillId="4" borderId="53" xfId="2" applyNumberFormat="1" applyFont="1" applyFill="1" applyBorder="1" applyAlignment="1">
      <alignment vertical="center"/>
    </xf>
    <xf numFmtId="168" fontId="30" fillId="8" borderId="28" xfId="2" applyNumberFormat="1" applyFont="1" applyFill="1" applyBorder="1" applyAlignment="1">
      <alignment vertical="center"/>
    </xf>
    <xf numFmtId="168" fontId="30" fillId="0" borderId="28" xfId="2" applyNumberFormat="1" applyFont="1" applyBorder="1" applyAlignment="1">
      <alignment vertical="center"/>
    </xf>
    <xf numFmtId="0" fontId="24" fillId="7" borderId="65" xfId="0" applyFont="1" applyFill="1" applyBorder="1" applyAlignment="1">
      <alignment horizontal="center" vertical="center" wrapText="1"/>
    </xf>
    <xf numFmtId="0" fontId="32" fillId="7" borderId="65" xfId="0" applyFont="1" applyFill="1" applyBorder="1" applyAlignment="1">
      <alignment horizontal="center" vertical="center" wrapText="1"/>
    </xf>
    <xf numFmtId="10" fontId="31" fillId="0" borderId="1" xfId="33" applyNumberFormat="1" applyFont="1" applyBorder="1" applyAlignment="1">
      <alignment vertical="center"/>
    </xf>
    <xf numFmtId="10" fontId="30" fillId="0" borderId="31" xfId="33" applyNumberFormat="1" applyFont="1" applyBorder="1" applyAlignment="1">
      <alignment vertical="center"/>
    </xf>
    <xf numFmtId="10" fontId="31" fillId="8" borderId="1" xfId="33" applyNumberFormat="1" applyFont="1" applyFill="1" applyBorder="1" applyAlignment="1">
      <alignment vertical="center"/>
    </xf>
    <xf numFmtId="10" fontId="30" fillId="8" borderId="31" xfId="33" applyNumberFormat="1" applyFont="1" applyFill="1" applyBorder="1" applyAlignment="1">
      <alignment vertical="center"/>
    </xf>
    <xf numFmtId="168" fontId="29" fillId="0" borderId="31" xfId="2" applyNumberFormat="1" applyFont="1" applyBorder="1" applyAlignment="1">
      <alignment vertical="center"/>
    </xf>
    <xf numFmtId="10" fontId="29" fillId="0" borderId="31" xfId="32" applyNumberFormat="1" applyFont="1" applyBorder="1" applyAlignment="1">
      <alignment vertical="center"/>
    </xf>
    <xf numFmtId="9" fontId="29" fillId="8" borderId="33" xfId="32" applyFont="1" applyFill="1" applyBorder="1" applyAlignment="1">
      <alignment vertical="center"/>
    </xf>
    <xf numFmtId="49" fontId="29" fillId="0" borderId="2" xfId="32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 wrapText="1"/>
    </xf>
    <xf numFmtId="1" fontId="19" fillId="5" borderId="50" xfId="0" applyNumberFormat="1" applyFont="1" applyFill="1" applyBorder="1" applyAlignment="1">
      <alignment horizontal="center" vertical="center" wrapText="1"/>
    </xf>
    <xf numFmtId="1" fontId="19" fillId="5" borderId="61" xfId="0" applyNumberFormat="1" applyFont="1" applyFill="1" applyBorder="1" applyAlignment="1">
      <alignment horizontal="center" vertical="center" wrapText="1"/>
    </xf>
    <xf numFmtId="49" fontId="29" fillId="8" borderId="29" xfId="32" applyNumberFormat="1" applyFont="1" applyFill="1" applyBorder="1" applyAlignment="1">
      <alignment vertical="center"/>
    </xf>
    <xf numFmtId="49" fontId="29" fillId="0" borderId="29" xfId="32" applyNumberFormat="1" applyFont="1" applyBorder="1" applyAlignment="1">
      <alignment vertical="center"/>
    </xf>
    <xf numFmtId="49" fontId="29" fillId="8" borderId="33" xfId="32" applyNumberFormat="1" applyFont="1" applyFill="1" applyBorder="1" applyAlignment="1">
      <alignment vertical="center"/>
    </xf>
    <xf numFmtId="1" fontId="28" fillId="5" borderId="34" xfId="0" applyNumberFormat="1" applyFont="1" applyFill="1" applyBorder="1" applyAlignment="1">
      <alignment horizontal="center" vertical="center" wrapText="1"/>
    </xf>
    <xf numFmtId="1" fontId="28" fillId="5" borderId="52" xfId="0" applyNumberFormat="1" applyFont="1" applyFill="1" applyBorder="1" applyAlignment="1">
      <alignment horizontal="center" vertical="center" wrapText="1"/>
    </xf>
    <xf numFmtId="1" fontId="28" fillId="5" borderId="39" xfId="0" applyNumberFormat="1" applyFont="1" applyFill="1" applyBorder="1" applyAlignment="1">
      <alignment horizontal="center" vertical="center" wrapText="1"/>
    </xf>
    <xf numFmtId="1" fontId="28" fillId="5" borderId="17" xfId="0" applyNumberFormat="1" applyFont="1" applyFill="1" applyBorder="1" applyAlignment="1">
      <alignment horizontal="center" vertical="center" wrapText="1"/>
    </xf>
    <xf numFmtId="1" fontId="28" fillId="5" borderId="20" xfId="0" applyNumberFormat="1" applyFont="1" applyFill="1" applyBorder="1" applyAlignment="1">
      <alignment horizontal="center" vertical="center" wrapText="1"/>
    </xf>
    <xf numFmtId="1" fontId="28" fillId="5" borderId="22" xfId="0" applyNumberFormat="1" applyFont="1" applyFill="1" applyBorder="1" applyAlignment="1">
      <alignment horizontal="center" vertical="center" wrapText="1"/>
    </xf>
    <xf numFmtId="166" fontId="12" fillId="4" borderId="71" xfId="32" applyNumberFormat="1" applyFont="1" applyFill="1" applyBorder="1" applyAlignment="1">
      <alignment vertical="center"/>
    </xf>
    <xf numFmtId="1" fontId="24" fillId="5" borderId="67" xfId="0" applyNumberFormat="1" applyFont="1" applyFill="1" applyBorder="1" applyAlignment="1">
      <alignment horizontal="center" vertical="center" wrapText="1"/>
    </xf>
    <xf numFmtId="10" fontId="29" fillId="8" borderId="32" xfId="33" applyNumberFormat="1" applyFont="1" applyFill="1" applyBorder="1" applyAlignment="1">
      <alignment horizontal="right" vertical="center"/>
    </xf>
    <xf numFmtId="165" fontId="29" fillId="8" borderId="32" xfId="2" applyFont="1" applyFill="1" applyBorder="1" applyAlignment="1">
      <alignment horizontal="right" vertical="center"/>
    </xf>
    <xf numFmtId="1" fontId="28" fillId="5" borderId="67" xfId="0" applyNumberFormat="1" applyFont="1" applyFill="1" applyBorder="1" applyAlignment="1">
      <alignment horizontal="center" vertical="center" wrapText="1"/>
    </xf>
    <xf numFmtId="1" fontId="28" fillId="5" borderId="70" xfId="0" applyNumberFormat="1" applyFont="1" applyFill="1" applyBorder="1" applyAlignment="1">
      <alignment horizontal="center" vertical="center" wrapText="1"/>
    </xf>
    <xf numFmtId="166" fontId="29" fillId="8" borderId="46" xfId="32" applyNumberFormat="1" applyFont="1" applyFill="1" applyBorder="1" applyAlignment="1">
      <alignment vertical="center"/>
    </xf>
    <xf numFmtId="1" fontId="19" fillId="7" borderId="20" xfId="0" applyNumberFormat="1" applyFont="1" applyFill="1" applyBorder="1" applyAlignment="1">
      <alignment horizontal="center" vertical="center"/>
    </xf>
    <xf numFmtId="166" fontId="12" fillId="4" borderId="35" xfId="33" applyNumberFormat="1" applyFont="1" applyFill="1" applyBorder="1" applyAlignment="1">
      <alignment vertical="center"/>
    </xf>
    <xf numFmtId="166" fontId="29" fillId="0" borderId="2" xfId="33" applyNumberFormat="1" applyFont="1" applyBorder="1" applyAlignment="1">
      <alignment vertical="center"/>
    </xf>
    <xf numFmtId="166" fontId="29" fillId="8" borderId="29" xfId="33" applyNumberFormat="1" applyFont="1" applyFill="1" applyBorder="1" applyAlignment="1">
      <alignment vertical="center"/>
    </xf>
    <xf numFmtId="166" fontId="29" fillId="0" borderId="29" xfId="33" applyNumberFormat="1" applyFont="1" applyBorder="1" applyAlignment="1">
      <alignment vertical="center"/>
    </xf>
    <xf numFmtId="166" fontId="30" fillId="8" borderId="29" xfId="33" applyNumberFormat="1" applyFont="1" applyFill="1" applyBorder="1" applyAlignment="1">
      <alignment vertical="center"/>
    </xf>
    <xf numFmtId="166" fontId="30" fillId="0" borderId="29" xfId="33" applyNumberFormat="1" applyFont="1" applyBorder="1" applyAlignment="1">
      <alignment vertical="center"/>
    </xf>
    <xf numFmtId="166" fontId="29" fillId="8" borderId="33" xfId="33" applyNumberFormat="1" applyFont="1" applyFill="1" applyBorder="1" applyAlignment="1">
      <alignment vertical="center"/>
    </xf>
    <xf numFmtId="1" fontId="28" fillId="7" borderId="16" xfId="0" applyNumberFormat="1" applyFont="1" applyFill="1" applyBorder="1" applyAlignment="1">
      <alignment horizontal="center" vertical="center"/>
    </xf>
    <xf numFmtId="1" fontId="28" fillId="7" borderId="51" xfId="0" applyNumberFormat="1" applyFont="1" applyFill="1" applyBorder="1" applyAlignment="1">
      <alignment horizontal="center" vertical="center"/>
    </xf>
    <xf numFmtId="168" fontId="5" fillId="0" borderId="0" xfId="0" applyNumberFormat="1" applyFont="1"/>
    <xf numFmtId="0" fontId="21" fillId="5" borderId="11" xfId="29" applyFont="1" applyFill="1" applyBorder="1" applyAlignment="1">
      <alignment horizontal="left" vertical="center"/>
    </xf>
    <xf numFmtId="0" fontId="21" fillId="5" borderId="12" xfId="29" applyFont="1" applyFill="1" applyBorder="1" applyAlignment="1">
      <alignment horizontal="left" vertical="center"/>
    </xf>
    <xf numFmtId="0" fontId="20" fillId="5" borderId="54" xfId="29" applyFont="1" applyFill="1" applyBorder="1" applyAlignment="1">
      <alignment horizontal="center" vertical="center"/>
    </xf>
    <xf numFmtId="0" fontId="20" fillId="5" borderId="7" xfId="29" applyFont="1" applyFill="1" applyBorder="1" applyAlignment="1">
      <alignment horizontal="center" vertical="center"/>
    </xf>
    <xf numFmtId="0" fontId="20" fillId="5" borderId="13" xfId="29" applyFont="1" applyFill="1" applyBorder="1" applyAlignment="1">
      <alignment horizontal="center" vertical="center"/>
    </xf>
    <xf numFmtId="0" fontId="20" fillId="5" borderId="21" xfId="29" applyFont="1" applyFill="1" applyBorder="1" applyAlignment="1">
      <alignment horizontal="center" vertical="center"/>
    </xf>
    <xf numFmtId="0" fontId="20" fillId="5" borderId="37" xfId="29" applyFont="1" applyFill="1" applyBorder="1" applyAlignment="1">
      <alignment horizontal="center" vertical="center"/>
    </xf>
    <xf numFmtId="0" fontId="20" fillId="5" borderId="19" xfId="29" applyFont="1" applyFill="1" applyBorder="1" applyAlignment="1">
      <alignment horizontal="center" vertical="center"/>
    </xf>
    <xf numFmtId="1" fontId="28" fillId="5" borderId="39" xfId="0" applyNumberFormat="1" applyFont="1" applyFill="1" applyBorder="1" applyAlignment="1">
      <alignment horizontal="center" vertical="center" wrapText="1"/>
    </xf>
    <xf numFmtId="1" fontId="28" fillId="5" borderId="34" xfId="0" applyNumberFormat="1" applyFont="1" applyFill="1" applyBorder="1" applyAlignment="1">
      <alignment horizontal="center" vertical="center" wrapText="1"/>
    </xf>
    <xf numFmtId="0" fontId="19" fillId="7" borderId="0" xfId="0" applyFont="1" applyFill="1" applyBorder="1" applyAlignment="1">
      <alignment horizontal="center" vertical="center"/>
    </xf>
    <xf numFmtId="0" fontId="19" fillId="7" borderId="62" xfId="0" applyFont="1" applyFill="1" applyBorder="1" applyAlignment="1">
      <alignment horizontal="center" vertical="center"/>
    </xf>
    <xf numFmtId="0" fontId="19" fillId="7" borderId="37" xfId="0" applyFont="1" applyFill="1" applyBorder="1" applyAlignment="1">
      <alignment horizontal="center" vertical="center"/>
    </xf>
    <xf numFmtId="0" fontId="19" fillId="7" borderId="19" xfId="0" applyFont="1" applyFill="1" applyBorder="1" applyAlignment="1">
      <alignment horizontal="center" vertical="center"/>
    </xf>
    <xf numFmtId="0" fontId="21" fillId="5" borderId="6" xfId="29" applyFont="1" applyFill="1" applyBorder="1" applyAlignment="1">
      <alignment horizontal="left" vertical="center"/>
    </xf>
    <xf numFmtId="0" fontId="21" fillId="5" borderId="7" xfId="29" applyFont="1" applyFill="1" applyBorder="1" applyAlignment="1">
      <alignment horizontal="left" vertical="center"/>
    </xf>
    <xf numFmtId="0" fontId="21" fillId="5" borderId="8" xfId="29" applyFont="1" applyFill="1" applyBorder="1" applyAlignment="1">
      <alignment horizontal="left" vertical="center"/>
    </xf>
    <xf numFmtId="1" fontId="26" fillId="5" borderId="4" xfId="0" applyNumberFormat="1" applyFont="1" applyFill="1" applyBorder="1" applyAlignment="1">
      <alignment horizontal="left" vertical="center" wrapText="1"/>
    </xf>
    <xf numFmtId="1" fontId="26" fillId="5" borderId="1" xfId="0" applyNumberFormat="1" applyFont="1" applyFill="1" applyBorder="1" applyAlignment="1">
      <alignment horizontal="left" vertical="center" wrapText="1"/>
    </xf>
    <xf numFmtId="1" fontId="26" fillId="5" borderId="0" xfId="0" applyNumberFormat="1" applyFont="1" applyFill="1" applyBorder="1" applyAlignment="1">
      <alignment horizontal="left" vertical="center" wrapText="1"/>
    </xf>
    <xf numFmtId="0" fontId="19" fillId="7" borderId="7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7" borderId="13" xfId="0" applyFont="1" applyFill="1" applyBorder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0" fontId="20" fillId="5" borderId="14" xfId="29" applyFont="1" applyFill="1" applyBorder="1" applyAlignment="1">
      <alignment horizontal="center" vertical="center"/>
    </xf>
    <xf numFmtId="0" fontId="20" fillId="5" borderId="15" xfId="29" applyFont="1" applyFill="1" applyBorder="1" applyAlignment="1">
      <alignment horizontal="center" vertical="center"/>
    </xf>
    <xf numFmtId="0" fontId="20" fillId="5" borderId="16" xfId="29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0" fontId="28" fillId="7" borderId="22" xfId="0" applyFont="1" applyFill="1" applyBorder="1" applyAlignment="1">
      <alignment horizontal="center" vertical="center"/>
    </xf>
    <xf numFmtId="1" fontId="26" fillId="5" borderId="2" xfId="0" applyNumberFormat="1" applyFont="1" applyFill="1" applyBorder="1" applyAlignment="1">
      <alignment horizontal="left" vertical="center" wrapText="1"/>
    </xf>
    <xf numFmtId="0" fontId="19" fillId="7" borderId="42" xfId="0" applyFont="1" applyFill="1" applyBorder="1" applyAlignment="1">
      <alignment horizontal="center" vertical="center"/>
    </xf>
    <xf numFmtId="0" fontId="19" fillId="7" borderId="40" xfId="0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left" vertical="center" wrapText="1"/>
    </xf>
    <xf numFmtId="0" fontId="19" fillId="7" borderId="38" xfId="0" applyFont="1" applyFill="1" applyBorder="1" applyAlignment="1">
      <alignment horizontal="center" vertical="center"/>
    </xf>
    <xf numFmtId="0" fontId="19" fillId="7" borderId="16" xfId="0" applyFont="1" applyFill="1" applyBorder="1" applyAlignment="1">
      <alignment horizontal="center" vertical="center"/>
    </xf>
    <xf numFmtId="37" fontId="12" fillId="4" borderId="48" xfId="13" applyNumberFormat="1" applyFont="1" applyFill="1" applyBorder="1" applyAlignment="1">
      <alignment horizontal="center" vertical="center"/>
    </xf>
    <xf numFmtId="37" fontId="12" fillId="4" borderId="49" xfId="13" applyNumberFormat="1" applyFont="1" applyFill="1" applyBorder="1" applyAlignment="1">
      <alignment horizontal="center" vertical="center"/>
    </xf>
    <xf numFmtId="0" fontId="21" fillId="5" borderId="3" xfId="29" applyFont="1" applyFill="1" applyBorder="1" applyAlignment="1">
      <alignment horizontal="left" vertical="center"/>
    </xf>
    <xf numFmtId="0" fontId="21" fillId="5" borderId="0" xfId="29" applyFont="1" applyFill="1" applyBorder="1" applyAlignment="1">
      <alignment horizontal="left" vertical="center"/>
    </xf>
    <xf numFmtId="0" fontId="21" fillId="5" borderId="2" xfId="29" applyFont="1" applyFill="1" applyBorder="1" applyAlignment="1">
      <alignment horizontal="left" vertical="center"/>
    </xf>
    <xf numFmtId="37" fontId="12" fillId="4" borderId="56" xfId="13" applyNumberFormat="1" applyFont="1" applyFill="1" applyBorder="1" applyAlignment="1">
      <alignment horizontal="center" vertical="center"/>
    </xf>
    <xf numFmtId="37" fontId="12" fillId="4" borderId="57" xfId="13" applyNumberFormat="1" applyFont="1" applyFill="1" applyBorder="1" applyAlignment="1">
      <alignment horizontal="center" vertical="center"/>
    </xf>
    <xf numFmtId="1" fontId="19" fillId="5" borderId="7" xfId="0" applyNumberFormat="1" applyFont="1" applyFill="1" applyBorder="1" applyAlignment="1">
      <alignment horizontal="center" vertical="center" wrapText="1"/>
    </xf>
    <xf numFmtId="1" fontId="19" fillId="5" borderId="13" xfId="0" applyNumberFormat="1" applyFont="1" applyFill="1" applyBorder="1" applyAlignment="1">
      <alignment horizontal="center" vertical="center" wrapText="1"/>
    </xf>
    <xf numFmtId="1" fontId="19" fillId="5" borderId="8" xfId="0" applyNumberFormat="1" applyFont="1" applyFill="1" applyBorder="1" applyAlignment="1">
      <alignment horizontal="center" vertical="center" wrapText="1"/>
    </xf>
    <xf numFmtId="1" fontId="19" fillId="5" borderId="54" xfId="0" applyNumberFormat="1" applyFont="1" applyFill="1" applyBorder="1" applyAlignment="1">
      <alignment horizontal="center" vertical="center" wrapText="1"/>
    </xf>
    <xf numFmtId="1" fontId="28" fillId="5" borderId="58" xfId="0" applyNumberFormat="1" applyFont="1" applyFill="1" applyBorder="1" applyAlignment="1">
      <alignment horizontal="center" vertical="center" wrapText="1"/>
    </xf>
    <xf numFmtId="1" fontId="28" fillId="5" borderId="21" xfId="0" applyNumberFormat="1" applyFont="1" applyFill="1" applyBorder="1" applyAlignment="1">
      <alignment horizontal="center" vertical="center" wrapText="1"/>
    </xf>
    <xf numFmtId="1" fontId="28" fillId="5" borderId="50" xfId="0" applyNumberFormat="1" applyFont="1" applyFill="1" applyBorder="1" applyAlignment="1">
      <alignment horizontal="center" vertical="center" wrapText="1"/>
    </xf>
    <xf numFmtId="1" fontId="28" fillId="5" borderId="52" xfId="0" applyNumberFormat="1" applyFont="1" applyFill="1" applyBorder="1" applyAlignment="1">
      <alignment horizontal="center" vertical="center" wrapText="1"/>
    </xf>
    <xf numFmtId="1" fontId="19" fillId="5" borderId="6" xfId="0" applyNumberFormat="1" applyFont="1" applyFill="1" applyBorder="1" applyAlignment="1">
      <alignment horizontal="center" vertical="center" wrapText="1"/>
    </xf>
    <xf numFmtId="1" fontId="19" fillId="5" borderId="3" xfId="0" applyNumberFormat="1" applyFont="1" applyFill="1" applyBorder="1" applyAlignment="1">
      <alignment horizontal="center" vertical="center" wrapText="1"/>
    </xf>
    <xf numFmtId="1" fontId="19" fillId="5" borderId="18" xfId="0" applyNumberFormat="1" applyFont="1" applyFill="1" applyBorder="1" applyAlignment="1">
      <alignment horizontal="center" vertical="center" wrapText="1"/>
    </xf>
    <xf numFmtId="1" fontId="19" fillId="5" borderId="50" xfId="0" applyNumberFormat="1" applyFont="1" applyFill="1" applyBorder="1" applyAlignment="1">
      <alignment horizontal="center" vertical="center" wrapText="1"/>
    </xf>
    <xf numFmtId="1" fontId="19" fillId="5" borderId="52" xfId="0" applyNumberFormat="1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/>
    </xf>
    <xf numFmtId="1" fontId="26" fillId="5" borderId="3" xfId="0" applyNumberFormat="1" applyFont="1" applyFill="1" applyBorder="1" applyAlignment="1">
      <alignment horizontal="left" vertical="center" wrapText="1"/>
    </xf>
    <xf numFmtId="0" fontId="19" fillId="7" borderId="54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19" fillId="7" borderId="58" xfId="0" applyFont="1" applyFill="1" applyBorder="1" applyAlignment="1">
      <alignment horizontal="center" vertical="center" wrapText="1"/>
    </xf>
    <xf numFmtId="0" fontId="19" fillId="7" borderId="62" xfId="0" applyFont="1" applyFill="1" applyBorder="1" applyAlignment="1">
      <alignment horizontal="center" vertical="center" wrapText="1"/>
    </xf>
    <xf numFmtId="0" fontId="19" fillId="7" borderId="21" xfId="0" applyFont="1" applyFill="1" applyBorder="1" applyAlignment="1">
      <alignment horizontal="center" vertical="center" wrapText="1"/>
    </xf>
    <xf numFmtId="0" fontId="19" fillId="7" borderId="19" xfId="0" applyFont="1" applyFill="1" applyBorder="1" applyAlignment="1">
      <alignment horizontal="center" vertical="center" wrapText="1"/>
    </xf>
    <xf numFmtId="0" fontId="19" fillId="7" borderId="39" xfId="0" applyFont="1" applyFill="1" applyBorder="1" applyAlignment="1">
      <alignment horizontal="center" vertical="center" wrapText="1"/>
    </xf>
    <xf numFmtId="0" fontId="19" fillId="7" borderId="34" xfId="0" applyFont="1" applyFill="1" applyBorder="1" applyAlignment="1">
      <alignment horizontal="center" vertical="center" wrapText="1"/>
    </xf>
    <xf numFmtId="0" fontId="19" fillId="7" borderId="20" xfId="0" applyFont="1" applyFill="1" applyBorder="1" applyAlignment="1">
      <alignment horizontal="center" vertical="center" wrapText="1"/>
    </xf>
    <xf numFmtId="0" fontId="28" fillId="7" borderId="39" xfId="0" applyFont="1" applyFill="1" applyBorder="1" applyAlignment="1">
      <alignment horizontal="center" vertical="center" wrapText="1"/>
    </xf>
    <xf numFmtId="0" fontId="28" fillId="7" borderId="34" xfId="0" applyFont="1" applyFill="1" applyBorder="1" applyAlignment="1">
      <alignment horizontal="center" vertical="center" wrapText="1"/>
    </xf>
    <xf numFmtId="0" fontId="28" fillId="7" borderId="20" xfId="0" applyFont="1" applyFill="1" applyBorder="1" applyAlignment="1">
      <alignment horizontal="center" vertical="center" wrapText="1"/>
    </xf>
    <xf numFmtId="0" fontId="19" fillId="7" borderId="38" xfId="0" applyFont="1" applyFill="1" applyBorder="1" applyAlignment="1">
      <alignment horizontal="center" vertical="center" wrapText="1"/>
    </xf>
    <xf numFmtId="0" fontId="19" fillId="7" borderId="16" xfId="0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0" fontId="19" fillId="7" borderId="0" xfId="0" applyFont="1" applyFill="1" applyBorder="1" applyAlignment="1">
      <alignment horizontal="center" vertical="center" wrapText="1"/>
    </xf>
    <xf numFmtId="37" fontId="12" fillId="4" borderId="64" xfId="13" applyNumberFormat="1" applyFont="1" applyFill="1" applyBorder="1" applyAlignment="1">
      <alignment horizontal="center" vertical="center"/>
    </xf>
    <xf numFmtId="37" fontId="12" fillId="4" borderId="63" xfId="13" applyNumberFormat="1" applyFont="1" applyFill="1" applyBorder="1" applyAlignment="1">
      <alignment horizontal="center" vertical="center"/>
    </xf>
    <xf numFmtId="0" fontId="24" fillId="7" borderId="65" xfId="0" applyFont="1" applyFill="1" applyBorder="1" applyAlignment="1">
      <alignment horizontal="center" vertical="center" wrapText="1"/>
    </xf>
    <xf numFmtId="0" fontId="24" fillId="7" borderId="34" xfId="0" applyFont="1" applyFill="1" applyBorder="1" applyAlignment="1">
      <alignment horizontal="center" vertical="center" wrapText="1"/>
    </xf>
    <xf numFmtId="0" fontId="24" fillId="7" borderId="20" xfId="0" applyFont="1" applyFill="1" applyBorder="1" applyAlignment="1">
      <alignment horizontal="center" vertical="center" wrapText="1"/>
    </xf>
    <xf numFmtId="0" fontId="19" fillId="7" borderId="65" xfId="0" applyFont="1" applyFill="1" applyBorder="1" applyAlignment="1">
      <alignment horizontal="center" vertical="center" wrapText="1"/>
    </xf>
    <xf numFmtId="0" fontId="32" fillId="7" borderId="17" xfId="0" applyFont="1" applyFill="1" applyBorder="1" applyAlignment="1">
      <alignment horizontal="center" vertical="center" wrapText="1"/>
    </xf>
    <xf numFmtId="0" fontId="32" fillId="7" borderId="67" xfId="0" applyFont="1" applyFill="1" applyBorder="1" applyAlignment="1">
      <alignment horizontal="center" vertical="center" wrapText="1"/>
    </xf>
    <xf numFmtId="0" fontId="32" fillId="7" borderId="22" xfId="0" applyFont="1" applyFill="1" applyBorder="1" applyAlignment="1">
      <alignment horizontal="center" vertical="center" wrapText="1"/>
    </xf>
    <xf numFmtId="0" fontId="19" fillId="7" borderId="42" xfId="0" applyFont="1" applyFill="1" applyBorder="1" applyAlignment="1">
      <alignment horizontal="center" vertical="center" wrapText="1"/>
    </xf>
    <xf numFmtId="0" fontId="19" fillId="7" borderId="66" xfId="0" applyFont="1" applyFill="1" applyBorder="1" applyAlignment="1">
      <alignment horizontal="center" vertical="center" wrapText="1"/>
    </xf>
    <xf numFmtId="0" fontId="19" fillId="7" borderId="40" xfId="0" applyFont="1" applyFill="1" applyBorder="1" applyAlignment="1">
      <alignment horizontal="center" vertical="center" wrapText="1"/>
    </xf>
    <xf numFmtId="1" fontId="19" fillId="5" borderId="68" xfId="0" applyNumberFormat="1" applyFont="1" applyFill="1" applyBorder="1" applyAlignment="1">
      <alignment horizontal="center" vertical="center" wrapText="1"/>
    </xf>
    <xf numFmtId="1" fontId="19" fillId="5" borderId="69" xfId="0" applyNumberFormat="1" applyFont="1" applyFill="1" applyBorder="1" applyAlignment="1">
      <alignment horizontal="center" vertical="center" wrapText="1"/>
    </xf>
    <xf numFmtId="0" fontId="21" fillId="5" borderId="3" xfId="29" applyFont="1" applyFill="1" applyBorder="1" applyAlignment="1">
      <alignment vertical="center"/>
    </xf>
    <xf numFmtId="0" fontId="21" fillId="5" borderId="0" xfId="29" applyFont="1" applyFill="1" applyBorder="1" applyAlignment="1">
      <alignment vertical="center"/>
    </xf>
    <xf numFmtId="0" fontId="21" fillId="5" borderId="2" xfId="29" applyFont="1" applyFill="1" applyBorder="1" applyAlignment="1">
      <alignment vertical="center"/>
    </xf>
    <xf numFmtId="0" fontId="19" fillId="7" borderId="14" xfId="0" applyFont="1" applyFill="1" applyBorder="1" applyAlignment="1">
      <alignment horizontal="center" vertical="center" wrapText="1"/>
    </xf>
    <xf numFmtId="0" fontId="19" fillId="7" borderId="15" xfId="0" applyFont="1" applyFill="1" applyBorder="1" applyAlignment="1">
      <alignment horizontal="center" vertical="center" wrapText="1"/>
    </xf>
    <xf numFmtId="0" fontId="19" fillId="7" borderId="51" xfId="0" applyFont="1" applyFill="1" applyBorder="1" applyAlignment="1">
      <alignment horizontal="center" vertical="center" wrapText="1"/>
    </xf>
    <xf numFmtId="1" fontId="19" fillId="5" borderId="42" xfId="0" applyNumberFormat="1" applyFont="1" applyFill="1" applyBorder="1" applyAlignment="1">
      <alignment horizontal="center" vertical="center" wrapText="1"/>
    </xf>
    <xf numFmtId="1" fontId="19" fillId="5" borderId="40" xfId="0" applyNumberFormat="1" applyFont="1" applyFill="1" applyBorder="1" applyAlignment="1">
      <alignment horizontal="center" vertical="center" wrapText="1"/>
    </xf>
    <xf numFmtId="0" fontId="26" fillId="5" borderId="4" xfId="29" applyFont="1" applyFill="1" applyBorder="1" applyAlignment="1">
      <alignment horizontal="left" vertical="center" wrapText="1"/>
    </xf>
    <xf numFmtId="0" fontId="26" fillId="5" borderId="1" xfId="29" applyFont="1" applyFill="1" applyBorder="1" applyAlignment="1">
      <alignment horizontal="left" vertical="center" wrapText="1"/>
    </xf>
    <xf numFmtId="0" fontId="26" fillId="5" borderId="5" xfId="29" applyFont="1" applyFill="1" applyBorder="1" applyAlignment="1">
      <alignment horizontal="left" vertical="center" wrapText="1"/>
    </xf>
    <xf numFmtId="0" fontId="21" fillId="5" borderId="3" xfId="29" applyFont="1" applyFill="1" applyBorder="1" applyAlignment="1">
      <alignment horizontal="left" vertical="center" wrapText="1"/>
    </xf>
    <xf numFmtId="0" fontId="21" fillId="5" borderId="0" xfId="29" applyFont="1" applyFill="1" applyBorder="1" applyAlignment="1">
      <alignment horizontal="left" vertical="center" wrapText="1"/>
    </xf>
    <xf numFmtId="0" fontId="21" fillId="5" borderId="2" xfId="29" applyFont="1" applyFill="1" applyBorder="1" applyAlignment="1">
      <alignment horizontal="left" vertical="center" wrapText="1"/>
    </xf>
    <xf numFmtId="1" fontId="27" fillId="5" borderId="3" xfId="0" applyNumberFormat="1" applyFont="1" applyFill="1" applyBorder="1" applyAlignment="1">
      <alignment horizontal="left" vertical="center" wrapText="1"/>
    </xf>
    <xf numFmtId="1" fontId="27" fillId="5" borderId="0" xfId="0" applyNumberFormat="1" applyFont="1" applyFill="1" applyBorder="1" applyAlignment="1">
      <alignment horizontal="left" vertical="center" wrapText="1"/>
    </xf>
    <xf numFmtId="1" fontId="27" fillId="5" borderId="2" xfId="0" applyNumberFormat="1" applyFont="1" applyFill="1" applyBorder="1" applyAlignment="1">
      <alignment horizontal="left" vertical="center" wrapText="1"/>
    </xf>
  </cellXfs>
  <cellStyles count="39">
    <cellStyle name="Hipervínculo" xfId="1" builtinId="8"/>
    <cellStyle name="Millares" xfId="2" builtinId="3"/>
    <cellStyle name="Millares [0] 2" xfId="3"/>
    <cellStyle name="Millares [0] 2 2" xfId="4"/>
    <cellStyle name="Millares [0] 3" xfId="5"/>
    <cellStyle name="Millares [0] 3 2" xfId="6"/>
    <cellStyle name="Millares [0] 4" xfId="7"/>
    <cellStyle name="Millares [0] 4 2" xfId="8"/>
    <cellStyle name="Millares 10" xfId="9"/>
    <cellStyle name="Millares 10 2" xfId="10"/>
    <cellStyle name="Millares 11" xfId="11"/>
    <cellStyle name="Millares 12" xfId="12"/>
    <cellStyle name="Millares 2" xfId="13"/>
    <cellStyle name="Millares 2 2" xfId="14"/>
    <cellStyle name="Millares 3" xfId="15"/>
    <cellStyle name="Millares 3 2" xfId="16"/>
    <cellStyle name="Millares 4" xfId="17"/>
    <cellStyle name="Millares 4 2" xfId="18"/>
    <cellStyle name="Millares 5" xfId="19"/>
    <cellStyle name="Millares 5 2" xfId="20"/>
    <cellStyle name="Millares 6" xfId="21"/>
    <cellStyle name="Millares 6 2" xfId="22"/>
    <cellStyle name="Millares 7" xfId="23"/>
    <cellStyle name="Millares 7 2" xfId="24"/>
    <cellStyle name="Millares 8" xfId="25"/>
    <cellStyle name="Millares 8 2" xfId="26"/>
    <cellStyle name="Millares 9" xfId="27"/>
    <cellStyle name="Millares 9 2" xfId="28"/>
    <cellStyle name="Normal" xfId="0" builtinId="0"/>
    <cellStyle name="Normal 2" xfId="29"/>
    <cellStyle name="Normal 3" xfId="30"/>
    <cellStyle name="Normal 4" xfId="31"/>
    <cellStyle name="Porcentaje" xfId="32" builtinId="5"/>
    <cellStyle name="Porcentaje 2" xfId="33"/>
    <cellStyle name="Porcentaje 3" xfId="34"/>
    <cellStyle name="Porcentaje 4" xfId="35"/>
    <cellStyle name="Porcentaje 5" xfId="36"/>
    <cellStyle name="Porcentaje 6" xfId="37"/>
    <cellStyle name="Porcentaje 7" xfId="38"/>
  </cellStyles>
  <dxfs count="0"/>
  <tableStyles count="0" defaultTableStyle="TableStyleMedium9" defaultPivotStyle="PivotStyleLight16"/>
  <colors>
    <mruColors>
      <color rgb="FF45658D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B37"/>
  <sheetViews>
    <sheetView tabSelected="1" zoomScaleNormal="100" workbookViewId="0"/>
  </sheetViews>
  <sheetFormatPr baseColWidth="10" defaultRowHeight="12.75"/>
  <cols>
    <col min="1" max="1" width="133.85546875" style="1" customWidth="1"/>
    <col min="2" max="2" width="14.28515625" style="3" customWidth="1"/>
    <col min="3" max="16384" width="11.42578125" style="1"/>
  </cols>
  <sheetData>
    <row r="1" spans="1:2" ht="36.75" customHeight="1">
      <c r="A1" s="61" t="s">
        <v>54</v>
      </c>
      <c r="B1" s="36" t="s">
        <v>56</v>
      </c>
    </row>
    <row r="2" spans="1:2" ht="12.75" customHeight="1">
      <c r="B2" s="1"/>
    </row>
    <row r="3" spans="1:2" s="2" customFormat="1" ht="33.75" customHeight="1">
      <c r="A3" s="309" t="s">
        <v>282</v>
      </c>
      <c r="B3" s="310"/>
    </row>
    <row r="4" spans="1:2" s="2" customFormat="1" ht="21.75" customHeight="1" thickBot="1">
      <c r="A4" s="62" t="s">
        <v>36</v>
      </c>
      <c r="B4" s="62" t="s">
        <v>131</v>
      </c>
    </row>
    <row r="5" spans="1:2" ht="21.75" customHeight="1" thickTop="1">
      <c r="A5" s="63" t="str">
        <f>+'Cuadro 1'!A2:O2</f>
        <v>Cuadro 1: Vehículos Expuestos a Riesgo. Por Categoría de Cobertura. Por año.</v>
      </c>
      <c r="B5" s="69" t="s">
        <v>108</v>
      </c>
    </row>
    <row r="6" spans="1:2" ht="21.75" customHeight="1">
      <c r="A6" s="63" t="str">
        <f>+'Cuadro 2'!A2:N2</f>
        <v>Cuadro 2: Siniestros por Hecho Generador. Total por año</v>
      </c>
      <c r="B6" s="64" t="s">
        <v>109</v>
      </c>
    </row>
    <row r="7" spans="1:2" ht="21.75" customHeight="1">
      <c r="A7" s="63" t="str">
        <f>+'Cuadro 3'!A2:M2</f>
        <v>Cuadro 3: Vehículos Expuestos a Riesgo. Participación porcentual por Categoría de Cobertura. Por año</v>
      </c>
      <c r="B7" s="64" t="s">
        <v>110</v>
      </c>
    </row>
    <row r="8" spans="1:2" ht="21.75" customHeight="1">
      <c r="A8" s="63" t="str">
        <f>+'Cuadro 4'!A2:L2</f>
        <v>Cuadro 4: Frecuencia Siniestral por Hecho Generador. Por año</v>
      </c>
      <c r="B8" s="64" t="s">
        <v>111</v>
      </c>
    </row>
    <row r="9" spans="1:2" ht="21.75" customHeight="1">
      <c r="A9" s="63" t="str">
        <f>+'Cuadro 5'!A2:L2</f>
        <v>Cuadro 5: Siniestros por Tipo de Vehículo. Todos los Hechos Generadores de Casco. Por año</v>
      </c>
      <c r="B9" s="64" t="s">
        <v>112</v>
      </c>
    </row>
    <row r="10" spans="1:2" ht="21.75" customHeight="1">
      <c r="A10" s="63" t="str">
        <f>+'Cuadro 6'!A2:L2</f>
        <v xml:space="preserve">Cuadro 6: Vehículos Expuestos a Riesgo por Tipo de Vehículo. Participación por Tipo de Cobertura. Por año </v>
      </c>
      <c r="B10" s="64" t="s">
        <v>113</v>
      </c>
    </row>
    <row r="11" spans="1:2" ht="21.75" customHeight="1">
      <c r="A11" s="63" t="str">
        <f>+'Cuadro 7'!A2:L2</f>
        <v>Cuadro 7: Frecuencia Siniestral de Casco por Tipo de Vehículo. Todos los Hechos Generadores de Casco. Por año</v>
      </c>
      <c r="B11" s="64" t="s">
        <v>114</v>
      </c>
    </row>
    <row r="12" spans="1:2" ht="21.75" customHeight="1">
      <c r="A12" s="63" t="str">
        <f>+'Cuadro 8'!A2:G2</f>
        <v>Cuadro 8: Siniestros de Casco por Jurisdicción. Año 2024. Comparación con año 2023</v>
      </c>
      <c r="B12" s="64" t="s">
        <v>115</v>
      </c>
    </row>
    <row r="13" spans="1:2" ht="21.75" customHeight="1">
      <c r="A13" s="63" t="str">
        <f>+'Cuadro 9'!A2:P2</f>
        <v>Cuadro 9: Siniestros de Casco por Jurisdicción, Zona y Hecho Generador. Año 2024</v>
      </c>
      <c r="B13" s="64" t="s">
        <v>116</v>
      </c>
    </row>
    <row r="14" spans="1:2" ht="21.75" customHeight="1">
      <c r="A14" s="63" t="str">
        <f>+'Cuadro 10'!A2:P2</f>
        <v>Cuadro 10: Frecuencia Siniestral de Casco por Hecho Generador.  Principales Zonas. Año 2024. Comparación con año 2023</v>
      </c>
      <c r="B14" s="64" t="s">
        <v>117</v>
      </c>
    </row>
    <row r="15" spans="1:2" ht="21.75" customHeight="1">
      <c r="A15" s="65" t="str">
        <f>+'Cuadro 11'!A2:L2</f>
        <v>Cuadro 11: Siniestros de Robo Total por Tipo de Vehículo. Por año</v>
      </c>
      <c r="B15" s="64" t="s">
        <v>118</v>
      </c>
    </row>
    <row r="16" spans="1:2" ht="21.75" customHeight="1">
      <c r="A16" s="63" t="str">
        <f>+'Cuadro 12'!A2:N2</f>
        <v xml:space="preserve">Cuadro 12: Vehículos Expuestos a Riesgo con cobertura de Robo Total por Tipo de Vehículo. Por año </v>
      </c>
      <c r="B16" s="64" t="s">
        <v>119</v>
      </c>
    </row>
    <row r="17" spans="1:2" ht="21.75" customHeight="1">
      <c r="A17" s="63" t="str">
        <f>+'Cuadro 13'!A2:L2</f>
        <v>Cuadro 13: Frecuencia Siniestral de Robo Total por Tipo de Vehículo. Por año</v>
      </c>
      <c r="B17" s="69" t="s">
        <v>120</v>
      </c>
    </row>
    <row r="18" spans="1:2" ht="21.75" customHeight="1">
      <c r="A18" s="63" t="str">
        <f>+'Cuadro 14'!A2:G2</f>
        <v xml:space="preserve">Cuadro 14: Siniestros de Robo Total por Mes de ocurrencia </v>
      </c>
      <c r="B18" s="64" t="s">
        <v>121</v>
      </c>
    </row>
    <row r="19" spans="1:2" ht="21.75" customHeight="1">
      <c r="A19" s="63" t="str">
        <f>+'Cuadro 15'!A2:J2</f>
        <v>Cuadro 15: Siniestros de Robo Total por Tipo de Vehículo y Mes de ocurrencia. Año 2024</v>
      </c>
      <c r="B19" s="64" t="s">
        <v>122</v>
      </c>
    </row>
    <row r="20" spans="1:2" ht="21.75" customHeight="1">
      <c r="A20" s="63" t="str">
        <f>+'Cuadro 16'!A2:E2</f>
        <v>Cuadro 16: Siniestros de Robo Total por Jurisdicción. Año 2024</v>
      </c>
      <c r="B20" s="64" t="s">
        <v>123</v>
      </c>
    </row>
    <row r="21" spans="1:2" ht="21.75" customHeight="1">
      <c r="A21" s="63" t="str">
        <f>+'Cuadro 17'!A2:M2</f>
        <v>Cuadro 17: Siniestros de Robo Total por Jurisdicción. Por año</v>
      </c>
      <c r="B21" s="64" t="s">
        <v>124</v>
      </c>
    </row>
    <row r="22" spans="1:2" ht="21.75" customHeight="1">
      <c r="A22" s="63" t="str">
        <f>+'Cuadro 18'!A2:M2</f>
        <v>Cuadro 18: Vehículos Expuestos a Riesgo con cobertura de Robo Total por Jurisdicción. Por año</v>
      </c>
      <c r="B22" s="64" t="s">
        <v>125</v>
      </c>
    </row>
    <row r="23" spans="1:2" ht="21.75" customHeight="1">
      <c r="A23" s="63" t="str">
        <f>+'Cuadro 19'!$A$2:$M$2</f>
        <v>Cuadro 19: Frecuencia Siniestral de Robo Total por Jurisdicción. Por año</v>
      </c>
      <c r="B23" s="64" t="s">
        <v>126</v>
      </c>
    </row>
    <row r="24" spans="1:2" ht="21.75" customHeight="1">
      <c r="A24" s="63" t="str">
        <f>+'Cuadro 20'!$A$2:$M$2</f>
        <v>Cuadro 20: Siniestros de Robo Total por Tipo de Vehículo y Jurisdicción. Año 2024</v>
      </c>
      <c r="B24" s="69" t="s">
        <v>268</v>
      </c>
    </row>
    <row r="25" spans="1:2" ht="21.75" customHeight="1">
      <c r="A25" s="63" t="str">
        <f>+'Cuadro 21'!$A$2:$M$2</f>
        <v>Cuadro 21: Vehículos Expuestos a Riesgo por Tipo de Vehículo y Jurisdicción. Cobertura de Robo Total. Año 2024</v>
      </c>
      <c r="B25" s="69" t="s">
        <v>269</v>
      </c>
    </row>
    <row r="26" spans="1:2" ht="21.75" customHeight="1">
      <c r="A26" s="63" t="str">
        <f>+'Cuadro 22'!$A$2:$M$2</f>
        <v>Cuadro 22: Frecuencia Siniestral de Robo Total por Tipo de Vehículo y Jurisdicción. Año 2024</v>
      </c>
      <c r="B26" s="69" t="s">
        <v>270</v>
      </c>
    </row>
    <row r="27" spans="1:2" ht="21.75" customHeight="1">
      <c r="A27" s="63" t="str">
        <f>+'Cuadro 23'!$A$2:$M$2</f>
        <v>Cuadro 23: Siniestros de Robo Total. Frecuencia Siniestral. Principales Tipos de Vehículo, Jurisdicciones y Zonas.</v>
      </c>
      <c r="B27" s="69" t="s">
        <v>271</v>
      </c>
    </row>
    <row r="28" spans="1:2" ht="21.75" customHeight="1">
      <c r="A28" s="63" t="str">
        <f>+'Cuadro 24'!$A$2:$M$2</f>
        <v>Cuadro 24: Siniestros de Robo Total. Partidos del Área Metropolitana. Año 2024</v>
      </c>
      <c r="B28" s="69" t="s">
        <v>272</v>
      </c>
    </row>
    <row r="29" spans="1:2" ht="21.75" customHeight="1">
      <c r="A29" s="63" t="str">
        <f>+'Cuadro 25'!$A$2:$M$2</f>
        <v>Cuadro 25: Siniestros de Robo Total. Partidos del Área Metropolitana. Por año</v>
      </c>
      <c r="B29" s="69" t="s">
        <v>273</v>
      </c>
    </row>
    <row r="30" spans="1:2" ht="21.75" customHeight="1">
      <c r="A30" s="63" t="str">
        <f>+'Cuadro 26'!$A$2:$M$2</f>
        <v xml:space="preserve">Cuadro 26: Vehículos Expuestos a Riesgo con cobertura de Robo Total. Partidos del Área Metropolitana. Por año </v>
      </c>
      <c r="B30" s="69" t="s">
        <v>274</v>
      </c>
    </row>
    <row r="31" spans="1:2" ht="21.75" customHeight="1">
      <c r="A31" s="63" t="str">
        <f>+'Cuadro 27'!$A$2:$M$2</f>
        <v>Cuadro 27: Frecuencia Siniestral de Robo Total. Partidos del Área Metropolitana. Por año</v>
      </c>
      <c r="B31" s="69" t="s">
        <v>275</v>
      </c>
    </row>
    <row r="32" spans="1:2" ht="21.75" customHeight="1">
      <c r="A32" s="63" t="str">
        <f>+'Cuadro 28'!$A$2:$M$2</f>
        <v>Cuadro 28: Siniestros de Robo Total. Partidos del Área Metropolitana. Principales Tipos de Vehículo. Año 2024</v>
      </c>
      <c r="B32" s="69" t="s">
        <v>276</v>
      </c>
    </row>
    <row r="33" spans="1:2" ht="21.75" customHeight="1">
      <c r="A33" s="63" t="str">
        <f>+'Cuadro 29'!$A$2:$M$2</f>
        <v>Cuadro 29: Vehículos Expuestos a Riesgo con cobertura de Robo Total. Partidos del Área Metropolitana. Principales Tipos de Vehículo. Año 2024</v>
      </c>
      <c r="B33" s="69" t="s">
        <v>277</v>
      </c>
    </row>
    <row r="34" spans="1:2" ht="21.75" customHeight="1">
      <c r="A34" s="63" t="str">
        <f>+'Cuadro 30'!$A$2:$M$2</f>
        <v>Cuadro 30: Frecuencia Siniestral de Robo Total. Partidos del Área Metropolitana. Principales Tipos de Vehículo. Año 2024</v>
      </c>
      <c r="B34" s="69" t="s">
        <v>278</v>
      </c>
    </row>
    <row r="35" spans="1:2" ht="21.75" customHeight="1">
      <c r="A35" s="63" t="str">
        <f>+'Cuadro 31'!$A$2:$N$2</f>
        <v>Cuadro 31: Siniestros de Robo Total por Año de Fabricación y Tipo de Vehículo. Año 2024</v>
      </c>
      <c r="B35" s="69" t="s">
        <v>279</v>
      </c>
    </row>
    <row r="36" spans="1:2" ht="21.75" customHeight="1">
      <c r="A36" s="63" t="str">
        <f>+'Cuadro 32'!$A$2:$M$2</f>
        <v>Cuadro 32: Automóviles. Siniestros de Robo Total. Ranking por Marca y Modelo. Año 2024</v>
      </c>
      <c r="B36" s="69" t="s">
        <v>280</v>
      </c>
    </row>
    <row r="37" spans="1:2" ht="21.75" customHeight="1">
      <c r="A37" s="63" t="str">
        <f>+'Cuadro 33'!$A$2:$M$2</f>
        <v>Cuadro 33: Motos. Siniestros de Robo Total. Ranking por Marca y Modelo. Año 2024</v>
      </c>
      <c r="B37" s="69" t="s">
        <v>281</v>
      </c>
    </row>
  </sheetData>
  <mergeCells count="1">
    <mergeCell ref="A3:B3"/>
  </mergeCells>
  <phoneticPr fontId="2" type="noConversion"/>
  <hyperlinks>
    <hyperlink ref="B5" location="'Cuadro 1'!A1" display="Cuadro 1"/>
    <hyperlink ref="B6" location="'Cuadro 2'!A1" display="Cuadro 2"/>
    <hyperlink ref="B7" location="'Cuadro 3'!A1" display="Cuadro 3"/>
    <hyperlink ref="B8:B20" location="'Cuadro 3'!A1" display="Cuadro 3"/>
    <hyperlink ref="B8" location="'Cuadro 4'!A1" display="Cuadro 4"/>
    <hyperlink ref="B9" location="'Cuadro 5'!A1" display="Cuadro 5"/>
    <hyperlink ref="B10" location="'Cuadro 6'!A1" display="Cuadro 3"/>
    <hyperlink ref="B11" location="'Cuadro 7'!A1" display="Cuadro 3"/>
    <hyperlink ref="B12" location="'Cuadro 8'!A1" display="Cuadro 3"/>
    <hyperlink ref="B13" location="'Cuadro 9'!A1" display="Cuadro 3"/>
    <hyperlink ref="B14" location="'Cuadro 10'!A1" display="Cuadro 3"/>
    <hyperlink ref="B15" location="'Cuadro 11'!A1" display="Cuadro 3"/>
    <hyperlink ref="B16" location="'Cuadro 12'!A1" display="Cuadro 3"/>
    <hyperlink ref="B17" location="'Cuadro 13'!A1" display="Cuadro 13"/>
    <hyperlink ref="B18" location="'Cuadro 14'!A1" display="Cuadro 3"/>
    <hyperlink ref="B19" location="'Cuadro 15'!A1" display="Cuadro 3"/>
    <hyperlink ref="B20:B23" location="'Cuadro 3'!A1" display="Cuadro 3"/>
    <hyperlink ref="B22" location="'Cuadro 18'!A1" display="Cuadro 16"/>
    <hyperlink ref="B23" location="'Cuadro 19'!A1" display="Cuadro 19"/>
    <hyperlink ref="B20" location="'Cuadro 16'!A1" display="Cuadro 16"/>
    <hyperlink ref="B21" location="'Cuadro 17'!A1" display="Cuadro 17"/>
    <hyperlink ref="B24" location="'Cuadro 20'!A1" display="Cuadro 20"/>
    <hyperlink ref="B25" location="'Cuadro 21'!A1" display="Cuadro 21"/>
    <hyperlink ref="B27" location="'Cuadro 23'!A1" display="Cuadro 23"/>
    <hyperlink ref="B29" location="'Cuadro 25'!A1" display="Cuadro 25"/>
    <hyperlink ref="B31" location="'Cuadro 27'!A1" display="Cuadro 27"/>
    <hyperlink ref="B33" location="'Cuadro 29'!A1" display="Cuadro 29"/>
    <hyperlink ref="B35" location="'Cuadro 31'!A1" display="Cuadro 31"/>
    <hyperlink ref="B37" location="'Cuadro 33'!A1" display="Cuadro 33"/>
    <hyperlink ref="B26" location="'Cuadro 22'!A1" display="Cuadro 22"/>
    <hyperlink ref="B28" location="'Cuadro 24'!A1" display="Cuadro 24"/>
    <hyperlink ref="B30" location="'Cuadro 26'!A1" display="Cuadro 26"/>
    <hyperlink ref="B32" location="'Cuadro 28'!A1" display="Cuadro 28"/>
    <hyperlink ref="B34" location="'Cuadro 30'!A1" display="Cuadro 30"/>
    <hyperlink ref="B36" location="'Cuadro 32'!A1" display="Cuadro 32"/>
  </hyperlinks>
  <pageMargins left="0.78740157480314965" right="0.78740157480314965" top="0.98425196850393704" bottom="0.98425196850393704" header="0" footer="0"/>
  <pageSetup paperSize="9" scale="90" orientation="portrait" horizontalDpi="300" verticalDpi="300" r:id="rId1"/>
  <headerFooter alignWithMargins="0">
    <oddFooter>&amp;C&amp;A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autoPageBreaks="0"/>
  </sheetPr>
  <dimension ref="A1:Q14"/>
  <sheetViews>
    <sheetView showGridLines="0" showRuler="0" showWhiteSpace="0" zoomScale="90" zoomScaleNormal="90" workbookViewId="0">
      <selection activeCell="A10" sqref="A10:XFD10"/>
    </sheetView>
  </sheetViews>
  <sheetFormatPr baseColWidth="10" defaultRowHeight="12.75"/>
  <cols>
    <col min="1" max="1" width="13.7109375" style="8" customWidth="1"/>
    <col min="2" max="2" width="35.7109375" style="8" customWidth="1"/>
    <col min="3" max="12" width="13.7109375" style="8" customWidth="1"/>
    <col min="13" max="13" width="10.28515625" style="8" customWidth="1"/>
    <col min="14" max="15" width="11" style="1" customWidth="1"/>
    <col min="16" max="16" width="1.7109375" style="2" customWidth="1"/>
    <col min="17" max="17" width="13.7109375" style="2" customWidth="1"/>
    <col min="18" max="18" width="18.7109375" style="8" bestFit="1" customWidth="1"/>
    <col min="19" max="16384" width="11.42578125" style="8"/>
  </cols>
  <sheetData>
    <row r="1" spans="1:17" s="30" customFormat="1" ht="30" customHeight="1">
      <c r="A1" s="323" t="s">
        <v>54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5"/>
      <c r="Q1" s="31" t="s">
        <v>134</v>
      </c>
    </row>
    <row r="2" spans="1:17" s="19" customFormat="1" ht="30" customHeight="1">
      <c r="A2" s="326" t="s">
        <v>152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3" t="s">
        <v>146</v>
      </c>
      <c r="O2" s="59" t="s">
        <v>146</v>
      </c>
    </row>
    <row r="3" spans="1:17" ht="8.1" customHeight="1"/>
    <row r="4" spans="1:17" ht="15" customHeight="1">
      <c r="A4" s="319" t="s">
        <v>283</v>
      </c>
      <c r="B4" s="320"/>
      <c r="C4" s="311" t="s">
        <v>284</v>
      </c>
      <c r="D4" s="312"/>
      <c r="E4" s="312"/>
      <c r="F4" s="312"/>
      <c r="G4" s="312"/>
      <c r="H4" s="312"/>
      <c r="I4" s="312"/>
      <c r="J4" s="312"/>
      <c r="K4" s="312"/>
      <c r="L4" s="313"/>
      <c r="M4" s="317" t="s">
        <v>285</v>
      </c>
      <c r="N4" s="287" t="s">
        <v>146</v>
      </c>
      <c r="O4" s="288" t="s">
        <v>146</v>
      </c>
      <c r="P4" s="8"/>
      <c r="Q4" s="8"/>
    </row>
    <row r="5" spans="1:17" ht="15" customHeight="1">
      <c r="A5" s="319"/>
      <c r="B5" s="320"/>
      <c r="C5" s="314"/>
      <c r="D5" s="315"/>
      <c r="E5" s="315"/>
      <c r="F5" s="315"/>
      <c r="G5" s="315"/>
      <c r="H5" s="315"/>
      <c r="I5" s="315"/>
      <c r="J5" s="315"/>
      <c r="K5" s="315"/>
      <c r="L5" s="316"/>
      <c r="M5" s="318"/>
      <c r="N5" s="285" t="s">
        <v>286</v>
      </c>
      <c r="O5" s="295" t="s">
        <v>287</v>
      </c>
      <c r="P5" s="8"/>
      <c r="Q5" s="8"/>
    </row>
    <row r="6" spans="1:17" ht="15" customHeight="1">
      <c r="A6" s="321"/>
      <c r="B6" s="322"/>
      <c r="C6" s="298">
        <v>2015</v>
      </c>
      <c r="D6" s="80">
        <v>2016</v>
      </c>
      <c r="E6" s="79">
        <v>2017</v>
      </c>
      <c r="F6" s="80">
        <v>2018</v>
      </c>
      <c r="G6" s="79">
        <v>2019</v>
      </c>
      <c r="H6" s="80">
        <v>2020</v>
      </c>
      <c r="I6" s="79">
        <v>2021</v>
      </c>
      <c r="J6" s="80">
        <v>2022</v>
      </c>
      <c r="K6" s="79">
        <v>2023</v>
      </c>
      <c r="L6" s="80">
        <v>2024</v>
      </c>
      <c r="M6" s="289" t="s">
        <v>76</v>
      </c>
      <c r="N6" s="289" t="s">
        <v>76</v>
      </c>
      <c r="O6" s="290" t="s">
        <v>76</v>
      </c>
      <c r="P6" s="8"/>
      <c r="Q6" s="8"/>
    </row>
    <row r="7" spans="1:17" ht="20.100000000000001" customHeight="1">
      <c r="A7" s="81"/>
      <c r="B7" s="82" t="s">
        <v>75</v>
      </c>
      <c r="C7" s="104">
        <v>11055593.000000004</v>
      </c>
      <c r="D7" s="104">
        <v>11382311.999999991</v>
      </c>
      <c r="E7" s="104">
        <v>12079791.999999978</v>
      </c>
      <c r="F7" s="104">
        <v>13062191.000000041</v>
      </c>
      <c r="G7" s="104">
        <v>13233631.999999952</v>
      </c>
      <c r="H7" s="104">
        <v>13205558.000000093</v>
      </c>
      <c r="I7" s="104">
        <v>13897228.999999974</v>
      </c>
      <c r="J7" s="104">
        <v>14526548.000000076</v>
      </c>
      <c r="K7" s="104">
        <v>15014323.000000034</v>
      </c>
      <c r="L7" s="104">
        <v>14889352.999999989</v>
      </c>
      <c r="M7" s="230">
        <v>1</v>
      </c>
      <c r="N7" s="123">
        <f>+L7/K7-1</f>
        <v>-8.323385609863676E-3</v>
      </c>
      <c r="O7" s="124">
        <f>+L7/C7-1</f>
        <v>0.34677108681551361</v>
      </c>
      <c r="P7" s="8"/>
      <c r="Q7" s="8"/>
    </row>
    <row r="8" spans="1:17" ht="30" customHeight="1">
      <c r="A8" s="83" t="s">
        <v>77</v>
      </c>
      <c r="B8" s="99" t="s">
        <v>84</v>
      </c>
      <c r="C8" s="114">
        <v>3475173.2794868699</v>
      </c>
      <c r="D8" s="114">
        <v>3531115.4940089001</v>
      </c>
      <c r="E8" s="114">
        <v>3744199.55484688</v>
      </c>
      <c r="F8" s="114">
        <v>3985237.1984863901</v>
      </c>
      <c r="G8" s="115">
        <v>3950556.33377743</v>
      </c>
      <c r="H8" s="114">
        <v>4000761.8851690199</v>
      </c>
      <c r="I8" s="114">
        <v>4313924.5464196596</v>
      </c>
      <c r="J8" s="114">
        <v>4787730.83466163</v>
      </c>
      <c r="K8" s="114">
        <v>4969477.2150806999</v>
      </c>
      <c r="L8" s="115">
        <v>5252846.6653347397</v>
      </c>
      <c r="M8" s="95">
        <v>0.35279213712877422</v>
      </c>
      <c r="N8" s="95">
        <v>5.7021984001477843E-2</v>
      </c>
      <c r="O8" s="95">
        <v>0.51153517907756063</v>
      </c>
      <c r="P8" s="8"/>
      <c r="Q8" s="8"/>
    </row>
    <row r="9" spans="1:17" ht="30" customHeight="1">
      <c r="A9" s="84" t="s">
        <v>78</v>
      </c>
      <c r="B9" s="100" t="s">
        <v>85</v>
      </c>
      <c r="C9" s="116">
        <v>457961.49866120197</v>
      </c>
      <c r="D9" s="116">
        <v>484896.54358872899</v>
      </c>
      <c r="E9" s="116">
        <v>446230.33577827702</v>
      </c>
      <c r="F9" s="116">
        <v>464034.56876328302</v>
      </c>
      <c r="G9" s="116">
        <v>460686.511051098</v>
      </c>
      <c r="H9" s="116">
        <v>470932.14417542098</v>
      </c>
      <c r="I9" s="116">
        <v>504823.363595184</v>
      </c>
      <c r="J9" s="116">
        <v>488065.07491903403</v>
      </c>
      <c r="K9" s="116">
        <v>552918.91392369405</v>
      </c>
      <c r="L9" s="116">
        <v>554460.32874977496</v>
      </c>
      <c r="M9" s="96">
        <v>3.7238712034685019E-2</v>
      </c>
      <c r="N9" s="96">
        <v>2.7877773526365779E-3</v>
      </c>
      <c r="O9" s="125">
        <v>0.21071384902590351</v>
      </c>
      <c r="P9" s="8"/>
      <c r="Q9" s="8"/>
    </row>
    <row r="10" spans="1:17" ht="30" customHeight="1">
      <c r="A10" s="85" t="s">
        <v>79</v>
      </c>
      <c r="B10" s="101" t="s">
        <v>86</v>
      </c>
      <c r="C10" s="118">
        <v>612568.33061899105</v>
      </c>
      <c r="D10" s="118">
        <v>636940.232918564</v>
      </c>
      <c r="E10" s="118">
        <v>735926.92296900996</v>
      </c>
      <c r="F10" s="118">
        <v>813207.63377347495</v>
      </c>
      <c r="G10" s="118">
        <v>770522.64788498799</v>
      </c>
      <c r="H10" s="118">
        <v>771836.18182413105</v>
      </c>
      <c r="I10" s="118">
        <v>855109.08610658895</v>
      </c>
      <c r="J10" s="118">
        <v>910891.44888984098</v>
      </c>
      <c r="K10" s="118">
        <v>986237.61652523698</v>
      </c>
      <c r="L10" s="118">
        <v>952194.42222453398</v>
      </c>
      <c r="M10" s="97">
        <v>6.395136324758581E-2</v>
      </c>
      <c r="N10" s="97">
        <v>-3.4518247661902923E-2</v>
      </c>
      <c r="O10" s="126">
        <v>0.55442972584357397</v>
      </c>
      <c r="P10" s="8"/>
      <c r="Q10" s="8"/>
    </row>
    <row r="11" spans="1:17" ht="30" customHeight="1">
      <c r="A11" s="84" t="s">
        <v>80</v>
      </c>
      <c r="B11" s="100" t="s">
        <v>87</v>
      </c>
      <c r="C11" s="116">
        <v>3481333.8356697201</v>
      </c>
      <c r="D11" s="116">
        <v>3601590.7003483302</v>
      </c>
      <c r="E11" s="116">
        <v>3727360.9498005202</v>
      </c>
      <c r="F11" s="116">
        <v>3971449.2560037998</v>
      </c>
      <c r="G11" s="116">
        <v>4007146.3338768701</v>
      </c>
      <c r="H11" s="116">
        <v>3883992.2655553399</v>
      </c>
      <c r="I11" s="116">
        <v>4023658.1306763398</v>
      </c>
      <c r="J11" s="116">
        <v>3942260.1623703102</v>
      </c>
      <c r="K11" s="116">
        <v>3936149.7887792899</v>
      </c>
      <c r="L11" s="116">
        <v>3945931.9925045199</v>
      </c>
      <c r="M11" s="96">
        <v>0.26501702206298083</v>
      </c>
      <c r="N11" s="96">
        <v>2.4852214092858649E-3</v>
      </c>
      <c r="O11" s="125">
        <v>0.13345406639102819</v>
      </c>
      <c r="P11" s="8"/>
      <c r="Q11" s="8"/>
    </row>
    <row r="12" spans="1:17" ht="30" customHeight="1">
      <c r="A12" s="85" t="s">
        <v>81</v>
      </c>
      <c r="B12" s="101" t="s">
        <v>88</v>
      </c>
      <c r="C12" s="118">
        <v>536902.15242187399</v>
      </c>
      <c r="D12" s="118">
        <v>531703.72629955795</v>
      </c>
      <c r="E12" s="118">
        <v>479992.55848205398</v>
      </c>
      <c r="F12" s="118">
        <v>483462.272219103</v>
      </c>
      <c r="G12" s="118">
        <v>491313.71332502202</v>
      </c>
      <c r="H12" s="118">
        <v>452470.199114708</v>
      </c>
      <c r="I12" s="118">
        <v>481284.44067558303</v>
      </c>
      <c r="J12" s="118">
        <v>451142.84675797803</v>
      </c>
      <c r="K12" s="118">
        <v>416839.65532104397</v>
      </c>
      <c r="L12" s="118">
        <v>329998.63657303102</v>
      </c>
      <c r="M12" s="97">
        <v>2.2163396661562806E-2</v>
      </c>
      <c r="N12" s="97">
        <v>-0.20833195124184922</v>
      </c>
      <c r="O12" s="126">
        <v>-0.38536540581097789</v>
      </c>
      <c r="P12" s="8"/>
      <c r="Q12" s="8"/>
    </row>
    <row r="13" spans="1:17" ht="30" customHeight="1">
      <c r="A13" s="84" t="s">
        <v>82</v>
      </c>
      <c r="B13" s="100" t="s">
        <v>89</v>
      </c>
      <c r="C13" s="116">
        <v>1995629.0402362901</v>
      </c>
      <c r="D13" s="116">
        <v>2109697.8589978102</v>
      </c>
      <c r="E13" s="116">
        <v>2364547.6705748099</v>
      </c>
      <c r="F13" s="116">
        <v>2658044.2579543302</v>
      </c>
      <c r="G13" s="116">
        <v>2893325.65410663</v>
      </c>
      <c r="H13" s="116">
        <v>2897452.1066748002</v>
      </c>
      <c r="I13" s="116">
        <v>2822672.3048503599</v>
      </c>
      <c r="J13" s="116">
        <v>2793164.21506195</v>
      </c>
      <c r="K13" s="116">
        <v>2874384.5930123101</v>
      </c>
      <c r="L13" s="116">
        <v>2788362.34592399</v>
      </c>
      <c r="M13" s="96">
        <v>0.18727223042693544</v>
      </c>
      <c r="N13" s="96">
        <v>-2.9927187648250642E-2</v>
      </c>
      <c r="O13" s="125">
        <v>0.39723480151092483</v>
      </c>
      <c r="P13" s="8"/>
      <c r="Q13" s="8"/>
    </row>
    <row r="14" spans="1:17" ht="30" customHeight="1">
      <c r="A14" s="93" t="s">
        <v>83</v>
      </c>
      <c r="B14" s="102" t="s">
        <v>90</v>
      </c>
      <c r="C14" s="120">
        <v>496024.86290504597</v>
      </c>
      <c r="D14" s="120">
        <v>486367.44383810699</v>
      </c>
      <c r="E14" s="120">
        <v>581534.00754842802</v>
      </c>
      <c r="F14" s="120">
        <v>686755.81279967702</v>
      </c>
      <c r="G14" s="120">
        <v>659483.40332309494</v>
      </c>
      <c r="H14" s="120">
        <v>726624.53197502997</v>
      </c>
      <c r="I14" s="120">
        <v>895591.71302469098</v>
      </c>
      <c r="J14" s="120">
        <v>1153293.41733948</v>
      </c>
      <c r="K14" s="120">
        <v>1278315.21735768</v>
      </c>
      <c r="L14" s="120">
        <v>1065558.60868945</v>
      </c>
      <c r="M14" s="98">
        <v>7.1565138437475903E-2</v>
      </c>
      <c r="N14" s="98">
        <v>-0.16643516855569085</v>
      </c>
      <c r="O14" s="127">
        <v>1.1481959643088091</v>
      </c>
      <c r="P14" s="8"/>
      <c r="Q14" s="8"/>
    </row>
  </sheetData>
  <mergeCells count="5">
    <mergeCell ref="C4:L5"/>
    <mergeCell ref="M4:M5"/>
    <mergeCell ref="A4:B6"/>
    <mergeCell ref="A1:O1"/>
    <mergeCell ref="A2:M2"/>
  </mergeCells>
  <hyperlinks>
    <hyperlink ref="Q1" location="INDICE!Área_de_impresión" display="INDICE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P24"/>
  <sheetViews>
    <sheetView showGridLines="0" zoomScale="90" zoomScaleNormal="90" workbookViewId="0">
      <selection sqref="A1:N1"/>
    </sheetView>
  </sheetViews>
  <sheetFormatPr baseColWidth="10" defaultRowHeight="12.75"/>
  <cols>
    <col min="1" max="1" width="17.42578125" style="1" customWidth="1"/>
    <col min="2" max="9" width="13.7109375" style="1" customWidth="1"/>
    <col min="10" max="11" width="13.7109375" style="3" customWidth="1"/>
    <col min="12" max="12" width="11.85546875" style="1" customWidth="1"/>
    <col min="13" max="14" width="11" style="1" customWidth="1"/>
    <col min="15" max="15" width="1.7109375" style="2" customWidth="1"/>
    <col min="16" max="16" width="13.7109375" style="2" customWidth="1"/>
    <col min="17" max="16384" width="11.42578125" style="1"/>
  </cols>
  <sheetData>
    <row r="1" spans="1:16" s="30" customFormat="1" ht="30" customHeight="1">
      <c r="A1" s="323" t="s">
        <v>54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P1" s="31" t="s">
        <v>134</v>
      </c>
    </row>
    <row r="2" spans="1:16" s="4" customFormat="1" ht="30" customHeight="1">
      <c r="A2" s="328" t="s">
        <v>153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"/>
      <c r="N2" s="34"/>
      <c r="O2" s="19"/>
    </row>
    <row r="3" spans="1:16" ht="8.1" customHeight="1">
      <c r="I3" s="3"/>
      <c r="K3" s="1"/>
      <c r="N3" s="2"/>
      <c r="P3" s="1"/>
    </row>
    <row r="4" spans="1:16" s="8" customFormat="1" ht="15" customHeight="1">
      <c r="A4" s="329" t="s">
        <v>288</v>
      </c>
      <c r="B4" s="311" t="s">
        <v>284</v>
      </c>
      <c r="C4" s="312"/>
      <c r="D4" s="312"/>
      <c r="E4" s="312"/>
      <c r="F4" s="312"/>
      <c r="G4" s="312"/>
      <c r="H4" s="312"/>
      <c r="I4" s="312"/>
      <c r="J4" s="312"/>
      <c r="K4" s="313"/>
      <c r="L4" s="317" t="s">
        <v>285</v>
      </c>
      <c r="M4" s="287" t="s">
        <v>146</v>
      </c>
      <c r="N4" s="288" t="s">
        <v>146</v>
      </c>
    </row>
    <row r="5" spans="1:16" s="8" customFormat="1" ht="15" customHeight="1">
      <c r="A5" s="319"/>
      <c r="B5" s="314"/>
      <c r="C5" s="315"/>
      <c r="D5" s="315"/>
      <c r="E5" s="315"/>
      <c r="F5" s="315"/>
      <c r="G5" s="315"/>
      <c r="H5" s="315"/>
      <c r="I5" s="315"/>
      <c r="J5" s="315"/>
      <c r="K5" s="316"/>
      <c r="L5" s="318"/>
      <c r="M5" s="285" t="s">
        <v>286</v>
      </c>
      <c r="N5" s="295" t="s">
        <v>287</v>
      </c>
    </row>
    <row r="6" spans="1:16" s="8" customFormat="1" ht="15" customHeight="1">
      <c r="A6" s="321"/>
      <c r="B6" s="298">
        <v>2015</v>
      </c>
      <c r="C6" s="80">
        <v>2016</v>
      </c>
      <c r="D6" s="79">
        <v>2017</v>
      </c>
      <c r="E6" s="80">
        <v>2018</v>
      </c>
      <c r="F6" s="79">
        <v>2019</v>
      </c>
      <c r="G6" s="80">
        <v>2020</v>
      </c>
      <c r="H6" s="79">
        <v>2021</v>
      </c>
      <c r="I6" s="80">
        <v>2022</v>
      </c>
      <c r="J6" s="79">
        <v>2023</v>
      </c>
      <c r="K6" s="80">
        <v>2024</v>
      </c>
      <c r="L6" s="289" t="s">
        <v>76</v>
      </c>
      <c r="M6" s="289" t="s">
        <v>76</v>
      </c>
      <c r="N6" s="290" t="s">
        <v>76</v>
      </c>
    </row>
    <row r="7" spans="1:16" s="8" customFormat="1" ht="15" customHeight="1">
      <c r="A7" s="81" t="s">
        <v>0</v>
      </c>
      <c r="B7" s="104">
        <v>1516301</v>
      </c>
      <c r="C7" s="104">
        <v>1607783</v>
      </c>
      <c r="D7" s="104">
        <v>1767030</v>
      </c>
      <c r="E7" s="104">
        <v>1972543</v>
      </c>
      <c r="F7" s="104">
        <v>2001151</v>
      </c>
      <c r="G7" s="104">
        <v>1359599</v>
      </c>
      <c r="H7" s="104">
        <v>1847608</v>
      </c>
      <c r="I7" s="104">
        <v>2142876</v>
      </c>
      <c r="J7" s="104">
        <v>2218125</v>
      </c>
      <c r="K7" s="104">
        <v>2077069</v>
      </c>
      <c r="L7" s="123">
        <v>1</v>
      </c>
      <c r="M7" s="123">
        <v>-6.359244857706392E-2</v>
      </c>
      <c r="N7" s="124">
        <v>0.36982630757349622</v>
      </c>
    </row>
    <row r="8" spans="1:16" s="8" customFormat="1" ht="15" customHeight="1">
      <c r="A8" s="132" t="s">
        <v>32</v>
      </c>
      <c r="B8" s="114">
        <v>66872</v>
      </c>
      <c r="C8" s="114">
        <v>69988</v>
      </c>
      <c r="D8" s="114">
        <v>68320</v>
      </c>
      <c r="E8" s="114">
        <v>68736</v>
      </c>
      <c r="F8" s="115">
        <v>74237</v>
      </c>
      <c r="G8" s="114">
        <v>54257</v>
      </c>
      <c r="H8" s="114">
        <v>65867</v>
      </c>
      <c r="I8" s="114">
        <v>83572</v>
      </c>
      <c r="J8" s="114">
        <v>104051</v>
      </c>
      <c r="K8" s="115">
        <v>108775</v>
      </c>
      <c r="L8" s="95">
        <v>5.2369468708068918E-2</v>
      </c>
      <c r="M8" s="95">
        <v>4.5400813062824952E-2</v>
      </c>
      <c r="N8" s="95">
        <v>0.62661502572078009</v>
      </c>
    </row>
    <row r="9" spans="1:16" s="8" customFormat="1" ht="15" customHeight="1">
      <c r="A9" s="133" t="s">
        <v>31</v>
      </c>
      <c r="B9" s="116">
        <v>233026</v>
      </c>
      <c r="C9" s="116">
        <v>236545</v>
      </c>
      <c r="D9" s="116">
        <v>215676</v>
      </c>
      <c r="E9" s="116">
        <v>215528</v>
      </c>
      <c r="F9" s="116">
        <v>260296</v>
      </c>
      <c r="G9" s="116">
        <v>215426</v>
      </c>
      <c r="H9" s="116">
        <v>314436</v>
      </c>
      <c r="I9" s="116">
        <v>382960</v>
      </c>
      <c r="J9" s="116">
        <v>407031</v>
      </c>
      <c r="K9" s="116">
        <v>367675</v>
      </c>
      <c r="L9" s="96">
        <v>0.17701626667193049</v>
      </c>
      <c r="M9" s="96">
        <v>-9.6690424070893899E-2</v>
      </c>
      <c r="N9" s="125">
        <v>0.57782822517658983</v>
      </c>
    </row>
    <row r="10" spans="1:16" s="8" customFormat="1" ht="15" customHeight="1">
      <c r="A10" s="134" t="s">
        <v>34</v>
      </c>
      <c r="B10" s="118">
        <v>3008</v>
      </c>
      <c r="C10" s="118">
        <v>3429</v>
      </c>
      <c r="D10" s="118">
        <v>3752</v>
      </c>
      <c r="E10" s="118">
        <v>3861</v>
      </c>
      <c r="F10" s="118">
        <v>4262</v>
      </c>
      <c r="G10" s="118">
        <v>3440</v>
      </c>
      <c r="H10" s="118">
        <v>4365</v>
      </c>
      <c r="I10" s="118">
        <v>5048</v>
      </c>
      <c r="J10" s="118">
        <v>6048</v>
      </c>
      <c r="K10" s="118">
        <v>7663</v>
      </c>
      <c r="L10" s="97">
        <v>3.6893333827619592E-3</v>
      </c>
      <c r="M10" s="97">
        <v>0.26703042328042326</v>
      </c>
      <c r="N10" s="126">
        <v>1.5475398936170213</v>
      </c>
    </row>
    <row r="11" spans="1:16" s="8" customFormat="1" ht="15" customHeight="1">
      <c r="A11" s="133" t="s">
        <v>33</v>
      </c>
      <c r="B11" s="116">
        <v>6505</v>
      </c>
      <c r="C11" s="116">
        <v>6361</v>
      </c>
      <c r="D11" s="116">
        <v>5832</v>
      </c>
      <c r="E11" s="116">
        <v>8980</v>
      </c>
      <c r="F11" s="116">
        <v>5227</v>
      </c>
      <c r="G11" s="116">
        <v>3900</v>
      </c>
      <c r="H11" s="116">
        <v>4578</v>
      </c>
      <c r="I11" s="116">
        <v>4896</v>
      </c>
      <c r="J11" s="116">
        <v>4931</v>
      </c>
      <c r="K11" s="116">
        <v>4576</v>
      </c>
      <c r="L11" s="96">
        <v>2.2031044707710723E-3</v>
      </c>
      <c r="M11" s="96">
        <v>-7.1993510444128939E-2</v>
      </c>
      <c r="N11" s="125">
        <v>-0.29654112221368178</v>
      </c>
    </row>
    <row r="12" spans="1:16" s="8" customFormat="1" ht="15" customHeight="1">
      <c r="A12" s="134" t="s">
        <v>35</v>
      </c>
      <c r="B12" s="118">
        <v>32545</v>
      </c>
      <c r="C12" s="118">
        <v>35024</v>
      </c>
      <c r="D12" s="118">
        <v>42894</v>
      </c>
      <c r="E12" s="118">
        <v>50161</v>
      </c>
      <c r="F12" s="118">
        <v>52796</v>
      </c>
      <c r="G12" s="118">
        <v>31771</v>
      </c>
      <c r="H12" s="118">
        <v>38638</v>
      </c>
      <c r="I12" s="118">
        <v>39849</v>
      </c>
      <c r="J12" s="118">
        <v>45362</v>
      </c>
      <c r="K12" s="118">
        <v>44923</v>
      </c>
      <c r="L12" s="97">
        <v>2.1628073020202986E-2</v>
      </c>
      <c r="M12" s="97">
        <v>-9.6777038049469244E-3</v>
      </c>
      <c r="N12" s="126">
        <v>0.38033492087878318</v>
      </c>
    </row>
    <row r="13" spans="1:16" s="8" customFormat="1" ht="15" customHeight="1">
      <c r="A13" s="135" t="s">
        <v>57</v>
      </c>
      <c r="B13" s="129">
        <v>1174345</v>
      </c>
      <c r="C13" s="129">
        <v>1256436</v>
      </c>
      <c r="D13" s="129">
        <v>1430556</v>
      </c>
      <c r="E13" s="129">
        <v>1625277</v>
      </c>
      <c r="F13" s="129">
        <v>1604333</v>
      </c>
      <c r="G13" s="129">
        <v>1050805</v>
      </c>
      <c r="H13" s="129">
        <v>1419724</v>
      </c>
      <c r="I13" s="129">
        <v>1626551</v>
      </c>
      <c r="J13" s="129">
        <v>1650702</v>
      </c>
      <c r="K13" s="129">
        <v>1543457</v>
      </c>
      <c r="L13" s="130">
        <v>0.74309375374626452</v>
      </c>
      <c r="M13" s="130">
        <v>-6.4969328200971455E-2</v>
      </c>
      <c r="N13" s="131">
        <v>0.31431308516662471</v>
      </c>
    </row>
    <row r="14" spans="1:16">
      <c r="I14" s="3"/>
      <c r="K14" s="1"/>
      <c r="N14" s="2"/>
      <c r="P14" s="1"/>
    </row>
    <row r="15" spans="1:16">
      <c r="I15" s="3"/>
      <c r="K15" s="1"/>
      <c r="N15" s="2"/>
      <c r="P15" s="1"/>
    </row>
    <row r="16" spans="1:16">
      <c r="I16" s="3"/>
      <c r="K16" s="1"/>
      <c r="N16" s="2"/>
      <c r="P16" s="1"/>
    </row>
    <row r="17" spans="9:16">
      <c r="I17" s="3"/>
      <c r="K17" s="1"/>
      <c r="N17" s="2"/>
      <c r="P17" s="1"/>
    </row>
    <row r="18" spans="9:16">
      <c r="I18" s="3"/>
      <c r="K18" s="1"/>
      <c r="N18" s="2"/>
      <c r="P18" s="1"/>
    </row>
    <row r="19" spans="9:16">
      <c r="I19" s="3"/>
      <c r="K19" s="1"/>
      <c r="N19" s="2"/>
      <c r="P19" s="1"/>
    </row>
    <row r="20" spans="9:16">
      <c r="I20" s="3"/>
      <c r="K20" s="1"/>
      <c r="N20" s="2"/>
      <c r="P20" s="1"/>
    </row>
    <row r="21" spans="9:16">
      <c r="I21" s="3"/>
      <c r="K21" s="1"/>
      <c r="N21" s="2"/>
      <c r="P21" s="1"/>
    </row>
    <row r="22" spans="9:16">
      <c r="I22" s="3"/>
      <c r="K22" s="1"/>
      <c r="N22" s="2"/>
      <c r="P22" s="1"/>
    </row>
    <row r="23" spans="9:16">
      <c r="I23" s="3"/>
      <c r="K23" s="1"/>
      <c r="N23" s="2"/>
      <c r="P23" s="1"/>
    </row>
    <row r="24" spans="9:16">
      <c r="I24" s="3"/>
      <c r="K24" s="1"/>
      <c r="N24" s="2"/>
      <c r="P24" s="1"/>
    </row>
  </sheetData>
  <mergeCells count="5">
    <mergeCell ref="A1:N1"/>
    <mergeCell ref="A2:L2"/>
    <mergeCell ref="B4:K5"/>
    <mergeCell ref="A4:A6"/>
    <mergeCell ref="L4:L5"/>
  </mergeCells>
  <phoneticPr fontId="2" type="noConversion"/>
  <hyperlinks>
    <hyperlink ref="P1" location="INDICE!Área_de_impresión" display="INDICE"/>
  </hyperlinks>
  <pageMargins left="0.78740157480314965" right="0.78740157480314965" top="0.62992125984251968" bottom="0.98425196850393704" header="0" footer="0"/>
  <pageSetup paperSize="9" orientation="landscape" horizontalDpi="300" verticalDpi="300" r:id="rId1"/>
  <headerFooter alignWithMargins="0">
    <oddFooter>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P15"/>
  <sheetViews>
    <sheetView showGridLines="0" zoomScale="90" zoomScaleNormal="90" workbookViewId="0">
      <selection sqref="A1:M1"/>
    </sheetView>
  </sheetViews>
  <sheetFormatPr baseColWidth="10" defaultRowHeight="12.75"/>
  <cols>
    <col min="1" max="1" width="13.7109375" style="8" customWidth="1"/>
    <col min="2" max="2" width="37.140625" style="8" customWidth="1"/>
    <col min="3" max="12" width="13.7109375" style="8" customWidth="1"/>
    <col min="13" max="13" width="11.85546875" style="8" bestFit="1" customWidth="1"/>
    <col min="14" max="14" width="1.7109375" style="2" customWidth="1"/>
    <col min="15" max="15" width="13.7109375" style="2" customWidth="1"/>
    <col min="16" max="16" width="18.7109375" style="8" bestFit="1" customWidth="1"/>
    <col min="17" max="16384" width="11.42578125" style="8"/>
  </cols>
  <sheetData>
    <row r="1" spans="1:16" s="30" customFormat="1" ht="30" customHeight="1">
      <c r="A1" s="323" t="s">
        <v>54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4"/>
      <c r="O1" s="31" t="s">
        <v>134</v>
      </c>
      <c r="P1" s="4"/>
    </row>
    <row r="2" spans="1:16" s="4" customFormat="1" ht="30" customHeight="1">
      <c r="A2" s="328" t="s">
        <v>147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19"/>
    </row>
    <row r="3" spans="1:16" ht="8.1" customHeight="1">
      <c r="N3" s="15"/>
      <c r="O3" s="15"/>
    </row>
    <row r="4" spans="1:16" ht="15" customHeight="1">
      <c r="A4" s="330" t="s">
        <v>283</v>
      </c>
      <c r="B4" s="331"/>
      <c r="C4" s="333" t="s">
        <v>284</v>
      </c>
      <c r="D4" s="334"/>
      <c r="E4" s="334"/>
      <c r="F4" s="334"/>
      <c r="G4" s="334"/>
      <c r="H4" s="334"/>
      <c r="I4" s="334"/>
      <c r="J4" s="334"/>
      <c r="K4" s="334"/>
      <c r="L4" s="335"/>
      <c r="M4" s="336" t="s">
        <v>156</v>
      </c>
    </row>
    <row r="5" spans="1:16" ht="15" customHeight="1">
      <c r="A5" s="332"/>
      <c r="B5" s="322"/>
      <c r="C5" s="79">
        <v>2015</v>
      </c>
      <c r="D5" s="80">
        <v>2016</v>
      </c>
      <c r="E5" s="79">
        <v>2017</v>
      </c>
      <c r="F5" s="80">
        <v>2018</v>
      </c>
      <c r="G5" s="79">
        <v>2019</v>
      </c>
      <c r="H5" s="80">
        <v>2020</v>
      </c>
      <c r="I5" s="79">
        <v>2021</v>
      </c>
      <c r="J5" s="80">
        <v>2022</v>
      </c>
      <c r="K5" s="79">
        <v>2023</v>
      </c>
      <c r="L5" s="80">
        <v>2024</v>
      </c>
      <c r="M5" s="337"/>
    </row>
    <row r="6" spans="1:16" ht="15" customHeight="1">
      <c r="A6" s="81"/>
      <c r="B6" s="82" t="s">
        <v>75</v>
      </c>
      <c r="C6" s="86">
        <v>1</v>
      </c>
      <c r="D6" s="86">
        <v>1</v>
      </c>
      <c r="E6" s="86">
        <v>1</v>
      </c>
      <c r="F6" s="86">
        <v>1</v>
      </c>
      <c r="G6" s="86">
        <v>1</v>
      </c>
      <c r="H6" s="86">
        <v>1</v>
      </c>
      <c r="I6" s="86">
        <v>1</v>
      </c>
      <c r="J6" s="86">
        <v>1</v>
      </c>
      <c r="K6" s="86">
        <v>1</v>
      </c>
      <c r="L6" s="86">
        <v>1</v>
      </c>
      <c r="M6" s="87"/>
    </row>
    <row r="7" spans="1:16" ht="30" customHeight="1">
      <c r="A7" s="83" t="s">
        <v>77</v>
      </c>
      <c r="B7" s="99" t="s">
        <v>84</v>
      </c>
      <c r="C7" s="94">
        <v>0.31433621692539437</v>
      </c>
      <c r="D7" s="94">
        <v>0.3102283168840303</v>
      </c>
      <c r="E7" s="94">
        <v>0.30995563125978381</v>
      </c>
      <c r="F7" s="94">
        <v>0.30509714629700124</v>
      </c>
      <c r="G7" s="95">
        <v>0.29853744465914167</v>
      </c>
      <c r="H7" s="94">
        <v>0.30299461399972333</v>
      </c>
      <c r="I7" s="94">
        <v>0.3104198609962327</v>
      </c>
      <c r="J7" s="94">
        <v>0.32958489757246912</v>
      </c>
      <c r="K7" s="94">
        <v>0.33098243690912432</v>
      </c>
      <c r="L7" s="95">
        <v>0.35279213712877422</v>
      </c>
      <c r="M7" s="106">
        <v>2.1800000000000002</v>
      </c>
    </row>
    <row r="8" spans="1:16" ht="30" customHeight="1">
      <c r="A8" s="84" t="s">
        <v>78</v>
      </c>
      <c r="B8" s="100" t="s">
        <v>85</v>
      </c>
      <c r="C8" s="96">
        <v>4.1423512846502419E-2</v>
      </c>
      <c r="D8" s="96">
        <v>4.2600883158775568E-2</v>
      </c>
      <c r="E8" s="96">
        <v>3.6940233389637651E-2</v>
      </c>
      <c r="F8" s="96">
        <v>3.5525017875123785E-2</v>
      </c>
      <c r="G8" s="96">
        <v>3.481336859374061E-2</v>
      </c>
      <c r="H8" s="96">
        <v>3.566568252248422E-2</v>
      </c>
      <c r="I8" s="96">
        <v>3.63259015471021E-2</v>
      </c>
      <c r="J8" s="96">
        <v>3.3598145610300979E-2</v>
      </c>
      <c r="K8" s="96">
        <v>3.6826096915838005E-2</v>
      </c>
      <c r="L8" s="96">
        <v>3.7238712034685019E-2</v>
      </c>
      <c r="M8" s="108">
        <v>0.04</v>
      </c>
    </row>
    <row r="9" spans="1:16" ht="30" customHeight="1">
      <c r="A9" s="85" t="s">
        <v>79</v>
      </c>
      <c r="B9" s="101" t="s">
        <v>86</v>
      </c>
      <c r="C9" s="97">
        <v>5.5408003045968802E-2</v>
      </c>
      <c r="D9" s="97">
        <v>5.5958774712779276E-2</v>
      </c>
      <c r="E9" s="97">
        <v>6.0922151885480412E-2</v>
      </c>
      <c r="F9" s="97">
        <v>6.2256602569467211E-2</v>
      </c>
      <c r="G9" s="97">
        <v>5.8227207237829891E-2</v>
      </c>
      <c r="H9" s="97">
        <v>5.8454417607246054E-2</v>
      </c>
      <c r="I9" s="97">
        <v>6.153163802230318E-2</v>
      </c>
      <c r="J9" s="97">
        <v>6.27052930186736E-2</v>
      </c>
      <c r="K9" s="97">
        <v>6.568645263094712E-2</v>
      </c>
      <c r="L9" s="97">
        <v>6.395136324758581E-2</v>
      </c>
      <c r="M9" s="110">
        <v>-0.17</v>
      </c>
    </row>
    <row r="10" spans="1:16" ht="30" customHeight="1">
      <c r="A10" s="84" t="s">
        <v>80</v>
      </c>
      <c r="B10" s="100" t="s">
        <v>87</v>
      </c>
      <c r="C10" s="96">
        <v>0.31489345127572277</v>
      </c>
      <c r="D10" s="96">
        <v>0.31641995934993972</v>
      </c>
      <c r="E10" s="96">
        <v>0.30856168299922104</v>
      </c>
      <c r="F10" s="96">
        <v>0.30404158506056012</v>
      </c>
      <c r="G10" s="96">
        <v>0.30281386362284585</v>
      </c>
      <c r="H10" s="96">
        <v>0.29415115696897659</v>
      </c>
      <c r="I10" s="96">
        <v>0.28953297262872563</v>
      </c>
      <c r="J10" s="96">
        <v>0.27138313674867903</v>
      </c>
      <c r="K10" s="96">
        <v>0.2621596583994697</v>
      </c>
      <c r="L10" s="96">
        <v>0.26501702206298083</v>
      </c>
      <c r="M10" s="108">
        <v>0.28000000000000003</v>
      </c>
    </row>
    <row r="11" spans="1:16" ht="30" customHeight="1">
      <c r="A11" s="85" t="s">
        <v>81</v>
      </c>
      <c r="B11" s="101" t="s">
        <v>88</v>
      </c>
      <c r="C11" s="97">
        <v>4.8563849304318119E-2</v>
      </c>
      <c r="D11" s="97">
        <v>4.6713156896380809E-2</v>
      </c>
      <c r="E11" s="97">
        <v>3.9735167499742943E-2</v>
      </c>
      <c r="F11" s="97">
        <v>3.7012341361345957E-2</v>
      </c>
      <c r="G11" s="97">
        <v>3.7127818998039304E-2</v>
      </c>
      <c r="H11" s="97">
        <v>3.4267481360327701E-2</v>
      </c>
      <c r="I11" s="97">
        <v>3.4632096033797986E-2</v>
      </c>
      <c r="J11" s="97">
        <v>3.1056438649978722E-2</v>
      </c>
      <c r="K11" s="97">
        <v>2.7762800581887386E-2</v>
      </c>
      <c r="L11" s="97">
        <v>2.2163396661562806E-2</v>
      </c>
      <c r="M11" s="110">
        <v>-0.56000000000000005</v>
      </c>
    </row>
    <row r="12" spans="1:16" ht="30" customHeight="1">
      <c r="A12" s="84" t="s">
        <v>82</v>
      </c>
      <c r="B12" s="100" t="s">
        <v>89</v>
      </c>
      <c r="C12" s="96">
        <v>0.18050854804769775</v>
      </c>
      <c r="D12" s="96">
        <v>0.18534879899600454</v>
      </c>
      <c r="E12" s="96">
        <v>0.19574407163424784</v>
      </c>
      <c r="F12" s="96">
        <v>0.20349145544987965</v>
      </c>
      <c r="G12" s="96">
        <v>0.21864415397864229</v>
      </c>
      <c r="H12" s="96">
        <v>0.21943629934565004</v>
      </c>
      <c r="I12" s="96">
        <v>0.20311285815992716</v>
      </c>
      <c r="J12" s="96">
        <v>0.19227997009763828</v>
      </c>
      <c r="K12" s="96">
        <v>0.19144283715038754</v>
      </c>
      <c r="L12" s="96">
        <v>0.18727223042693544</v>
      </c>
      <c r="M12" s="108">
        <v>-0.41</v>
      </c>
    </row>
    <row r="13" spans="1:16" ht="30" customHeight="1">
      <c r="A13" s="93" t="s">
        <v>83</v>
      </c>
      <c r="B13" s="102" t="s">
        <v>90</v>
      </c>
      <c r="C13" s="98">
        <v>4.4866418554395611E-2</v>
      </c>
      <c r="D13" s="98">
        <v>4.273011000208983E-2</v>
      </c>
      <c r="E13" s="98">
        <v>4.814106133188626E-2</v>
      </c>
      <c r="F13" s="98">
        <v>5.2575851386622206E-2</v>
      </c>
      <c r="G13" s="98">
        <v>4.9836142909760336E-2</v>
      </c>
      <c r="H13" s="98">
        <v>5.5030348195591904E-2</v>
      </c>
      <c r="I13" s="98">
        <v>6.4444672611911197E-2</v>
      </c>
      <c r="J13" s="98">
        <v>7.939211830226027E-2</v>
      </c>
      <c r="K13" s="98">
        <v>8.5139717412345772E-2</v>
      </c>
      <c r="L13" s="98">
        <v>7.1565138437475903E-2</v>
      </c>
      <c r="M13" s="112">
        <v>-1.35</v>
      </c>
    </row>
    <row r="14" spans="1:16">
      <c r="N14" s="15"/>
      <c r="O14" s="15"/>
    </row>
    <row r="15" spans="1:16">
      <c r="A15" s="44" t="s">
        <v>143</v>
      </c>
    </row>
  </sheetData>
  <mergeCells count="5">
    <mergeCell ref="A1:M1"/>
    <mergeCell ref="A2:M2"/>
    <mergeCell ref="A4:B5"/>
    <mergeCell ref="C4:L4"/>
    <mergeCell ref="M4:M5"/>
  </mergeCells>
  <hyperlinks>
    <hyperlink ref="O1" location="INDICE!Área_de_impresión" display="INDICE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N17"/>
  <sheetViews>
    <sheetView showGridLines="0" zoomScale="90" zoomScaleNormal="90" workbookViewId="0">
      <selection sqref="A1:L1"/>
    </sheetView>
  </sheetViews>
  <sheetFormatPr baseColWidth="10" defaultRowHeight="12.75"/>
  <cols>
    <col min="1" max="1" width="17.42578125" style="1" customWidth="1"/>
    <col min="2" max="8" width="10.7109375" style="1" customWidth="1"/>
    <col min="9" max="11" width="10.7109375" style="3" customWidth="1"/>
    <col min="12" max="12" width="10.7109375" style="1" customWidth="1"/>
    <col min="13" max="13" width="1.7109375" style="2" customWidth="1"/>
    <col min="14" max="14" width="11.42578125" style="2"/>
    <col min="15" max="16384" width="11.42578125" style="1"/>
  </cols>
  <sheetData>
    <row r="1" spans="1:14" s="30" customFormat="1" ht="30" customHeight="1">
      <c r="A1" s="323" t="s">
        <v>54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5"/>
      <c r="N1" s="31" t="s">
        <v>134</v>
      </c>
    </row>
    <row r="2" spans="1:14" s="19" customFormat="1" ht="30" customHeight="1">
      <c r="A2" s="328" t="s">
        <v>154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38"/>
    </row>
    <row r="3" spans="1:14" s="5" customFormat="1" ht="8.1" customHeight="1">
      <c r="I3" s="7"/>
      <c r="J3" s="7"/>
      <c r="K3" s="7"/>
      <c r="M3" s="15"/>
      <c r="N3" s="15"/>
    </row>
    <row r="4" spans="1:14" s="8" customFormat="1" ht="15" customHeight="1">
      <c r="A4" s="339" t="s">
        <v>288</v>
      </c>
      <c r="B4" s="334" t="s">
        <v>284</v>
      </c>
      <c r="C4" s="334"/>
      <c r="D4" s="334"/>
      <c r="E4" s="334"/>
      <c r="F4" s="334"/>
      <c r="G4" s="334"/>
      <c r="H4" s="334"/>
      <c r="I4" s="334"/>
      <c r="J4" s="334"/>
      <c r="K4" s="335"/>
      <c r="L4" s="336" t="s">
        <v>156</v>
      </c>
    </row>
    <row r="5" spans="1:14" s="8" customFormat="1" ht="15" customHeight="1">
      <c r="A5" s="340"/>
      <c r="B5" s="79">
        <v>2015</v>
      </c>
      <c r="C5" s="80">
        <v>2016</v>
      </c>
      <c r="D5" s="79">
        <v>2017</v>
      </c>
      <c r="E5" s="80">
        <v>2018</v>
      </c>
      <c r="F5" s="79">
        <v>2019</v>
      </c>
      <c r="G5" s="80">
        <v>2020</v>
      </c>
      <c r="H5" s="79">
        <v>2021</v>
      </c>
      <c r="I5" s="80">
        <v>2022</v>
      </c>
      <c r="J5" s="79">
        <v>2023</v>
      </c>
      <c r="K5" s="80">
        <v>2024</v>
      </c>
      <c r="L5" s="337"/>
    </row>
    <row r="6" spans="1:14" s="8" customFormat="1" ht="15" customHeight="1">
      <c r="A6" s="81" t="s">
        <v>0</v>
      </c>
      <c r="B6" s="144">
        <v>0.20002863375715044</v>
      </c>
      <c r="C6" s="144">
        <v>0.20478190792615258</v>
      </c>
      <c r="D6" s="144">
        <v>0.21198613195484092</v>
      </c>
      <c r="E6" s="144">
        <v>0.21731332373544301</v>
      </c>
      <c r="F6" s="144">
        <v>0.21558369900570729</v>
      </c>
      <c r="G6" s="144">
        <v>0.14772939081320466</v>
      </c>
      <c r="H6" s="144">
        <v>0.19279778708152137</v>
      </c>
      <c r="I6" s="144">
        <v>0.22003452407205121</v>
      </c>
      <c r="J6" s="144">
        <v>0.22082220548673465</v>
      </c>
      <c r="K6" s="144">
        <v>0.21554170441710627</v>
      </c>
      <c r="L6" s="103">
        <v>-0.53</v>
      </c>
    </row>
    <row r="7" spans="1:14" s="8" customFormat="1" ht="15" customHeight="1">
      <c r="A7" s="132" t="s">
        <v>32</v>
      </c>
      <c r="B7" s="137">
        <v>8.8216751137196146E-3</v>
      </c>
      <c r="C7" s="137">
        <v>8.9143100604593822E-3</v>
      </c>
      <c r="D7" s="137">
        <v>8.1961780700694001E-3</v>
      </c>
      <c r="E7" s="137">
        <v>7.5725845369552965E-3</v>
      </c>
      <c r="F7" s="138">
        <v>7.9975409467285038E-3</v>
      </c>
      <c r="G7" s="137">
        <v>5.8953805918892594E-3</v>
      </c>
      <c r="H7" s="137">
        <v>6.8732176098493664E-3</v>
      </c>
      <c r="I7" s="137">
        <v>8.5813295989826122E-3</v>
      </c>
      <c r="J7" s="137">
        <v>1.0358645839661978E-2</v>
      </c>
      <c r="K7" s="138">
        <v>1.1287804544755487E-2</v>
      </c>
      <c r="L7" s="106">
        <v>0.09</v>
      </c>
    </row>
    <row r="8" spans="1:14" s="8" customFormat="1" ht="15" customHeight="1">
      <c r="A8" s="133" t="s">
        <v>31</v>
      </c>
      <c r="B8" s="139">
        <v>3.8748126022507587E-2</v>
      </c>
      <c r="C8" s="139">
        <v>3.7889683212308296E-2</v>
      </c>
      <c r="D8" s="139">
        <v>3.2817900654662349E-2</v>
      </c>
      <c r="E8" s="139">
        <v>3.030076475645194E-2</v>
      </c>
      <c r="F8" s="139">
        <v>3.5214224345535533E-2</v>
      </c>
      <c r="G8" s="139">
        <v>2.9780003326739645E-2</v>
      </c>
      <c r="H8" s="139">
        <v>4.2911097991951808E-2</v>
      </c>
      <c r="I8" s="139">
        <v>5.328830692781153E-2</v>
      </c>
      <c r="J8" s="139">
        <v>5.6317965267867885E-2</v>
      </c>
      <c r="K8" s="139">
        <v>5.2046963694894012E-2</v>
      </c>
      <c r="L8" s="107">
        <v>-0.43</v>
      </c>
    </row>
    <row r="9" spans="1:14" s="8" customFormat="1" ht="15" customHeight="1">
      <c r="A9" s="134" t="s">
        <v>34</v>
      </c>
      <c r="B9" s="140">
        <v>3.9681180078461235E-4</v>
      </c>
      <c r="C9" s="140">
        <v>4.3674871688454054E-4</v>
      </c>
      <c r="D9" s="140">
        <v>4.5011797597922115E-4</v>
      </c>
      <c r="E9" s="140">
        <v>4.2536296696322741E-4</v>
      </c>
      <c r="F9" s="140">
        <v>4.5914462484956129E-4</v>
      </c>
      <c r="G9" s="140">
        <v>3.7377866885561408E-4</v>
      </c>
      <c r="H9" s="140">
        <v>4.5548749551357258E-4</v>
      </c>
      <c r="I9" s="140">
        <v>5.1833810146537389E-4</v>
      </c>
      <c r="J9" s="140">
        <v>6.0209983602536876E-4</v>
      </c>
      <c r="K9" s="140">
        <v>7.9520520548344103E-4</v>
      </c>
      <c r="L9" s="109">
        <v>0.02</v>
      </c>
    </row>
    <row r="10" spans="1:14" s="8" customFormat="1" ht="15" customHeight="1">
      <c r="A10" s="133" t="s">
        <v>33</v>
      </c>
      <c r="B10" s="139">
        <v>8.5813190296007427E-4</v>
      </c>
      <c r="C10" s="139">
        <v>8.1019498049068601E-4</v>
      </c>
      <c r="D10" s="139">
        <v>6.9965032940053778E-4</v>
      </c>
      <c r="E10" s="139">
        <v>9.8931868514109868E-4</v>
      </c>
      <c r="F10" s="139">
        <v>5.6310393103910293E-4</v>
      </c>
      <c r="G10" s="139">
        <v>4.2376070015607409E-4</v>
      </c>
      <c r="H10" s="139">
        <v>4.7771403309533454E-4</v>
      </c>
      <c r="I10" s="139">
        <v>5.0273045657180473E-4</v>
      </c>
      <c r="J10" s="139">
        <v>4.9089852702399034E-4</v>
      </c>
      <c r="K10" s="139">
        <v>4.7486089263894379E-4</v>
      </c>
      <c r="L10" s="107">
        <v>0</v>
      </c>
    </row>
    <row r="11" spans="1:14" s="8" customFormat="1" ht="15" customHeight="1">
      <c r="A11" s="134" t="s">
        <v>35</v>
      </c>
      <c r="B11" s="140">
        <v>4.2932978911353753E-3</v>
      </c>
      <c r="C11" s="140">
        <v>4.4609761038682258E-3</v>
      </c>
      <c r="D11" s="140">
        <v>5.145884984449017E-3</v>
      </c>
      <c r="E11" s="140">
        <v>5.5261931587263537E-3</v>
      </c>
      <c r="F11" s="140">
        <v>5.6877052120031532E-3</v>
      </c>
      <c r="G11" s="140">
        <v>3.4521285140150333E-3</v>
      </c>
      <c r="H11" s="140">
        <v>4.0318730473432804E-3</v>
      </c>
      <c r="I11" s="140">
        <v>4.0917700089725994E-3</v>
      </c>
      <c r="J11" s="140">
        <v>4.515947877278899E-3</v>
      </c>
      <c r="K11" s="140">
        <v>4.6617517220321836E-3</v>
      </c>
      <c r="L11" s="109">
        <v>0.02</v>
      </c>
    </row>
    <row r="12" spans="1:14" s="8" customFormat="1" ht="15" customHeight="1">
      <c r="A12" s="135" t="s">
        <v>57</v>
      </c>
      <c r="B12" s="141">
        <v>0.58845856435370025</v>
      </c>
      <c r="C12" s="141">
        <v>0.59555257860329669</v>
      </c>
      <c r="D12" s="141">
        <v>0.60500197048352966</v>
      </c>
      <c r="E12" s="141">
        <v>0.61145595869454672</v>
      </c>
      <c r="F12" s="141">
        <v>0.55449444403981851</v>
      </c>
      <c r="G12" s="141">
        <v>0.36266518351736771</v>
      </c>
      <c r="H12" s="141">
        <v>0.50297159807052583</v>
      </c>
      <c r="I12" s="141">
        <v>0.58233275051603961</v>
      </c>
      <c r="J12" s="141">
        <v>0.57428014470050093</v>
      </c>
      <c r="K12" s="141">
        <v>0.55353530442563015</v>
      </c>
      <c r="L12" s="145">
        <v>-2.08</v>
      </c>
    </row>
    <row r="13" spans="1:14" s="5" customFormat="1">
      <c r="I13" s="7"/>
      <c r="J13" s="7"/>
      <c r="K13" s="7"/>
      <c r="M13" s="15"/>
      <c r="N13" s="15"/>
    </row>
    <row r="14" spans="1:14">
      <c r="A14" s="44" t="s">
        <v>143</v>
      </c>
    </row>
    <row r="15" spans="1:14">
      <c r="M15" s="1"/>
      <c r="N15" s="1"/>
    </row>
    <row r="16" spans="1:14">
      <c r="M16" s="1"/>
      <c r="N16" s="1"/>
    </row>
    <row r="17" spans="2:14">
      <c r="B17" s="142"/>
      <c r="C17" s="142"/>
      <c r="D17" s="142"/>
      <c r="E17" s="142"/>
      <c r="F17" s="142"/>
      <c r="G17" s="142"/>
      <c r="H17" s="142"/>
      <c r="I17" s="143"/>
      <c r="J17" s="143"/>
      <c r="K17" s="143"/>
      <c r="L17" s="142"/>
      <c r="M17" s="1"/>
      <c r="N17" s="1"/>
    </row>
  </sheetData>
  <mergeCells count="5">
    <mergeCell ref="A1:L1"/>
    <mergeCell ref="A2:L2"/>
    <mergeCell ref="A4:A5"/>
    <mergeCell ref="B4:K4"/>
    <mergeCell ref="L4:L5"/>
  </mergeCells>
  <hyperlinks>
    <hyperlink ref="N1" location="INDICE!Área_de_impresión" display="INDIC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A1:NK25"/>
  <sheetViews>
    <sheetView showGridLines="0" zoomScale="90" zoomScaleNormal="90" workbookViewId="0">
      <selection sqref="A1:N1"/>
    </sheetView>
  </sheetViews>
  <sheetFormatPr baseColWidth="10" defaultRowHeight="12.75"/>
  <cols>
    <col min="1" max="1" width="19.85546875" style="2" customWidth="1"/>
    <col min="2" max="2" width="13.7109375" style="2" customWidth="1"/>
    <col min="3" max="3" width="13.7109375" style="17" customWidth="1"/>
    <col min="4" max="11" width="13.7109375" style="2" customWidth="1"/>
    <col min="12" max="12" width="11.42578125" style="2"/>
    <col min="13" max="14" width="11" style="1" customWidth="1"/>
    <col min="15" max="15" width="1.7109375" style="2" customWidth="1"/>
    <col min="16" max="16" width="13.7109375" style="2" customWidth="1"/>
    <col min="17" max="16384" width="11.42578125" style="2"/>
  </cols>
  <sheetData>
    <row r="1" spans="1:375" s="30" customFormat="1" ht="30" customHeight="1">
      <c r="A1" s="323" t="s">
        <v>54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15"/>
      <c r="P1" s="31" t="s">
        <v>134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</row>
    <row r="2" spans="1:375" s="19" customFormat="1" ht="30" customHeight="1">
      <c r="A2" s="328" t="s">
        <v>135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"/>
      <c r="N2" s="32"/>
    </row>
    <row r="3" spans="1:375" ht="8.1" customHeight="1">
      <c r="A3" s="18"/>
      <c r="C3" s="2"/>
    </row>
    <row r="4" spans="1:375" s="8" customFormat="1" ht="15" customHeight="1">
      <c r="A4" s="329" t="s">
        <v>289</v>
      </c>
      <c r="B4" s="311" t="s">
        <v>284</v>
      </c>
      <c r="C4" s="312"/>
      <c r="D4" s="312"/>
      <c r="E4" s="312"/>
      <c r="F4" s="312"/>
      <c r="G4" s="312"/>
      <c r="H4" s="312"/>
      <c r="I4" s="312"/>
      <c r="J4" s="312"/>
      <c r="K4" s="313"/>
      <c r="L4" s="317" t="s">
        <v>285</v>
      </c>
      <c r="M4" s="287" t="s">
        <v>146</v>
      </c>
      <c r="N4" s="288" t="s">
        <v>146</v>
      </c>
    </row>
    <row r="5" spans="1:375" s="8" customFormat="1" ht="15" customHeight="1">
      <c r="A5" s="319"/>
      <c r="B5" s="314"/>
      <c r="C5" s="315"/>
      <c r="D5" s="315"/>
      <c r="E5" s="315"/>
      <c r="F5" s="315"/>
      <c r="G5" s="315"/>
      <c r="H5" s="315"/>
      <c r="I5" s="315"/>
      <c r="J5" s="315"/>
      <c r="K5" s="316"/>
      <c r="L5" s="318"/>
      <c r="M5" s="285" t="s">
        <v>286</v>
      </c>
      <c r="N5" s="295" t="s">
        <v>287</v>
      </c>
    </row>
    <row r="6" spans="1:375" s="8" customFormat="1" ht="15" customHeight="1">
      <c r="A6" s="321"/>
      <c r="B6" s="298">
        <v>2015</v>
      </c>
      <c r="C6" s="80">
        <v>2016</v>
      </c>
      <c r="D6" s="79">
        <v>2017</v>
      </c>
      <c r="E6" s="80">
        <v>2018</v>
      </c>
      <c r="F6" s="79">
        <v>2019</v>
      </c>
      <c r="G6" s="80">
        <v>2020</v>
      </c>
      <c r="H6" s="79">
        <v>2021</v>
      </c>
      <c r="I6" s="80">
        <v>2022</v>
      </c>
      <c r="J6" s="79">
        <v>2023</v>
      </c>
      <c r="K6" s="80">
        <v>2024</v>
      </c>
      <c r="L6" s="289" t="s">
        <v>76</v>
      </c>
      <c r="M6" s="289" t="s">
        <v>76</v>
      </c>
      <c r="N6" s="290" t="s">
        <v>76</v>
      </c>
    </row>
    <row r="7" spans="1:375" s="8" customFormat="1" ht="15" customHeight="1">
      <c r="A7" s="81" t="s">
        <v>0</v>
      </c>
      <c r="B7" s="104">
        <v>1516301</v>
      </c>
      <c r="C7" s="104">
        <v>1607783</v>
      </c>
      <c r="D7" s="104">
        <v>1767030</v>
      </c>
      <c r="E7" s="104">
        <v>1972543</v>
      </c>
      <c r="F7" s="104">
        <v>2001151</v>
      </c>
      <c r="G7" s="104">
        <v>1359599</v>
      </c>
      <c r="H7" s="104">
        <v>1847608</v>
      </c>
      <c r="I7" s="104">
        <v>2142876</v>
      </c>
      <c r="J7" s="104">
        <v>2218125</v>
      </c>
      <c r="K7" s="104">
        <v>2077069</v>
      </c>
      <c r="L7" s="123">
        <v>1</v>
      </c>
      <c r="M7" s="123">
        <v>-6.359244857706392E-2</v>
      </c>
      <c r="N7" s="124">
        <v>0.36982630757349622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</row>
    <row r="8" spans="1:375" s="8" customFormat="1" ht="15" customHeight="1">
      <c r="A8" s="132" t="s">
        <v>37</v>
      </c>
      <c r="B8" s="114">
        <v>1384432</v>
      </c>
      <c r="C8" s="114">
        <v>1456752</v>
      </c>
      <c r="D8" s="114">
        <v>1603373</v>
      </c>
      <c r="E8" s="114">
        <v>1783395</v>
      </c>
      <c r="F8" s="115">
        <v>1802549</v>
      </c>
      <c r="G8" s="114">
        <v>1205118</v>
      </c>
      <c r="H8" s="114">
        <v>1644322</v>
      </c>
      <c r="I8" s="114">
        <v>1888557</v>
      </c>
      <c r="J8" s="114">
        <v>1937103</v>
      </c>
      <c r="K8" s="115">
        <v>1795508</v>
      </c>
      <c r="L8" s="95">
        <v>0.86444311671879948</v>
      </c>
      <c r="M8" s="95">
        <v>-7.3096267983684959E-2</v>
      </c>
      <c r="N8" s="95">
        <v>0.29692754862644022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</row>
    <row r="9" spans="1:375" s="8" customFormat="1" ht="15" customHeight="1">
      <c r="A9" s="133" t="s">
        <v>42</v>
      </c>
      <c r="B9" s="116">
        <v>82278</v>
      </c>
      <c r="C9" s="116">
        <v>95842</v>
      </c>
      <c r="D9" s="116">
        <v>109851</v>
      </c>
      <c r="E9" s="116">
        <v>125516</v>
      </c>
      <c r="F9" s="116">
        <v>131767</v>
      </c>
      <c r="G9" s="116">
        <v>100979</v>
      </c>
      <c r="H9" s="116">
        <v>142265</v>
      </c>
      <c r="I9" s="116">
        <v>173108</v>
      </c>
      <c r="J9" s="116">
        <v>183691</v>
      </c>
      <c r="K9" s="116">
        <v>188425</v>
      </c>
      <c r="L9" s="96">
        <v>9.0716774454772567E-2</v>
      </c>
      <c r="M9" s="96">
        <v>2.5771540249658331E-2</v>
      </c>
      <c r="N9" s="125">
        <v>1.2901018498261991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</row>
    <row r="10" spans="1:375" s="8" customFormat="1" ht="15" customHeight="1">
      <c r="A10" s="134" t="s">
        <v>38</v>
      </c>
      <c r="B10" s="118">
        <v>10294</v>
      </c>
      <c r="C10" s="118">
        <v>10750</v>
      </c>
      <c r="D10" s="118">
        <v>10379</v>
      </c>
      <c r="E10" s="118">
        <v>12130</v>
      </c>
      <c r="F10" s="118">
        <v>13076</v>
      </c>
      <c r="G10" s="118">
        <v>12738</v>
      </c>
      <c r="H10" s="118">
        <v>17141</v>
      </c>
      <c r="I10" s="118">
        <v>20436</v>
      </c>
      <c r="J10" s="118">
        <v>21047</v>
      </c>
      <c r="K10" s="118">
        <v>18831</v>
      </c>
      <c r="L10" s="97">
        <v>9.0661407974410094E-3</v>
      </c>
      <c r="M10" s="97">
        <v>-0.10528816458402623</v>
      </c>
      <c r="N10" s="126">
        <v>0.82931804934913544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</row>
    <row r="11" spans="1:375" s="8" customFormat="1" ht="15" customHeight="1">
      <c r="A11" s="133" t="s">
        <v>40</v>
      </c>
      <c r="B11" s="116">
        <v>3734</v>
      </c>
      <c r="C11" s="116">
        <v>4141</v>
      </c>
      <c r="D11" s="116">
        <v>4630</v>
      </c>
      <c r="E11" s="116">
        <v>6807</v>
      </c>
      <c r="F11" s="116">
        <v>4632</v>
      </c>
      <c r="G11" s="116">
        <v>2758</v>
      </c>
      <c r="H11" s="116">
        <v>2816</v>
      </c>
      <c r="I11" s="116">
        <v>2927</v>
      </c>
      <c r="J11" s="116">
        <v>2906</v>
      </c>
      <c r="K11" s="116">
        <v>2436</v>
      </c>
      <c r="L11" s="96">
        <v>1.1728064883737613E-3</v>
      </c>
      <c r="M11" s="96">
        <v>-0.16173434273916032</v>
      </c>
      <c r="N11" s="125">
        <v>-0.34761649705409747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</row>
    <row r="12" spans="1:375" s="8" customFormat="1" ht="15" customHeight="1">
      <c r="A12" s="134" t="s">
        <v>41</v>
      </c>
      <c r="B12" s="118">
        <v>3613</v>
      </c>
      <c r="C12" s="118">
        <v>3715</v>
      </c>
      <c r="D12" s="118">
        <v>4220</v>
      </c>
      <c r="E12" s="118">
        <v>4519</v>
      </c>
      <c r="F12" s="118">
        <v>4105</v>
      </c>
      <c r="G12" s="118">
        <v>2423</v>
      </c>
      <c r="H12" s="118">
        <v>2799</v>
      </c>
      <c r="I12" s="118">
        <v>2687</v>
      </c>
      <c r="J12" s="118">
        <v>2372</v>
      </c>
      <c r="K12" s="118">
        <v>2135</v>
      </c>
      <c r="L12" s="97">
        <v>1.0278907441206816E-3</v>
      </c>
      <c r="M12" s="97">
        <v>-9.9915682967959496E-2</v>
      </c>
      <c r="N12" s="126">
        <v>-0.40907832825906454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</row>
    <row r="13" spans="1:375" s="8" customFormat="1" ht="15" customHeight="1">
      <c r="A13" s="133" t="s">
        <v>39</v>
      </c>
      <c r="B13" s="116">
        <v>28397</v>
      </c>
      <c r="C13" s="116">
        <v>32750</v>
      </c>
      <c r="D13" s="116">
        <v>30807</v>
      </c>
      <c r="E13" s="116">
        <v>36216</v>
      </c>
      <c r="F13" s="116">
        <v>40603</v>
      </c>
      <c r="G13" s="116">
        <v>32015</v>
      </c>
      <c r="H13" s="116">
        <v>33415</v>
      </c>
      <c r="I13" s="116">
        <v>49094</v>
      </c>
      <c r="J13" s="116">
        <v>64288</v>
      </c>
      <c r="K13" s="116">
        <v>63365</v>
      </c>
      <c r="L13" s="96">
        <v>3.0506930679722242E-2</v>
      </c>
      <c r="M13" s="96">
        <v>-1.4357267297162801E-2</v>
      </c>
      <c r="N13" s="125">
        <v>1.2313976828538227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</row>
    <row r="14" spans="1:375" s="8" customFormat="1" ht="15" customHeight="1">
      <c r="A14" s="134" t="s">
        <v>48</v>
      </c>
      <c r="B14" s="118">
        <v>2127</v>
      </c>
      <c r="C14" s="118">
        <v>2233</v>
      </c>
      <c r="D14" s="118">
        <v>2047</v>
      </c>
      <c r="E14" s="118">
        <v>2274</v>
      </c>
      <c r="F14" s="118">
        <v>2315</v>
      </c>
      <c r="G14" s="118">
        <v>2260</v>
      </c>
      <c r="H14" s="118">
        <v>2841</v>
      </c>
      <c r="I14" s="118">
        <v>3157</v>
      </c>
      <c r="J14" s="118">
        <v>3039</v>
      </c>
      <c r="K14" s="118">
        <v>2513</v>
      </c>
      <c r="L14" s="97">
        <v>1.2098779578338516E-3</v>
      </c>
      <c r="M14" s="97">
        <v>-0.17308325106943079</v>
      </c>
      <c r="N14" s="126">
        <v>0.1814762576398683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</row>
    <row r="15" spans="1:375" s="8" customFormat="1" ht="15" customHeight="1">
      <c r="A15" s="135" t="s">
        <v>1</v>
      </c>
      <c r="B15" s="129">
        <v>1426</v>
      </c>
      <c r="C15" s="129">
        <v>1600</v>
      </c>
      <c r="D15" s="129">
        <v>1723</v>
      </c>
      <c r="E15" s="129">
        <v>1686</v>
      </c>
      <c r="F15" s="129">
        <v>2104</v>
      </c>
      <c r="G15" s="129">
        <v>1308</v>
      </c>
      <c r="H15" s="129">
        <v>2009</v>
      </c>
      <c r="I15" s="129">
        <v>2910</v>
      </c>
      <c r="J15" s="129">
        <v>3679</v>
      </c>
      <c r="K15" s="129">
        <v>3856</v>
      </c>
      <c r="L15" s="130">
        <v>1.8564621589364629E-3</v>
      </c>
      <c r="M15" s="130">
        <v>4.8110899701005794E-2</v>
      </c>
      <c r="N15" s="131">
        <v>1.7040673211781208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</row>
    <row r="16" spans="1:375" ht="21.75" customHeight="1">
      <c r="A16" s="18"/>
      <c r="C16" s="2"/>
    </row>
    <row r="17" spans="1:13" ht="21.75" customHeight="1">
      <c r="A17" s="38" t="s">
        <v>37</v>
      </c>
      <c r="B17" s="39" t="s">
        <v>52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1"/>
    </row>
    <row r="18" spans="1:13" ht="18" customHeight="1">
      <c r="A18" s="38" t="s">
        <v>42</v>
      </c>
      <c r="B18" s="39" t="s">
        <v>43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1"/>
    </row>
    <row r="19" spans="1:13" ht="21.75" customHeight="1">
      <c r="A19" s="38" t="s">
        <v>38</v>
      </c>
      <c r="B19" s="39" t="s">
        <v>44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1"/>
    </row>
    <row r="20" spans="1:13" ht="21.75" customHeight="1">
      <c r="A20" s="38" t="s">
        <v>48</v>
      </c>
      <c r="B20" s="39" t="s">
        <v>49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1"/>
    </row>
    <row r="21" spans="1:13" ht="21.75" customHeight="1">
      <c r="A21" s="38" t="s">
        <v>1</v>
      </c>
      <c r="B21" s="39" t="s">
        <v>46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1"/>
    </row>
    <row r="22" spans="1:13">
      <c r="A22" s="42"/>
      <c r="B22" s="39" t="s">
        <v>45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1"/>
    </row>
    <row r="23" spans="1:13">
      <c r="A23" s="38"/>
      <c r="B23" s="39" t="s">
        <v>47</v>
      </c>
      <c r="C23" s="43"/>
      <c r="D23" s="40"/>
      <c r="E23" s="40"/>
      <c r="F23" s="40"/>
      <c r="G23" s="40"/>
      <c r="H23" s="40"/>
      <c r="I23" s="40"/>
      <c r="J23" s="40"/>
      <c r="K23" s="40"/>
      <c r="L23" s="40"/>
      <c r="M23" s="41"/>
    </row>
    <row r="24" spans="1:13">
      <c r="A24" s="40"/>
      <c r="B24" s="40"/>
      <c r="C24" s="43"/>
      <c r="D24" s="40"/>
      <c r="E24" s="40"/>
      <c r="F24" s="40"/>
      <c r="G24" s="40"/>
      <c r="H24" s="40"/>
      <c r="I24" s="40"/>
      <c r="J24" s="40"/>
      <c r="K24" s="40"/>
      <c r="L24" s="40"/>
      <c r="M24" s="41"/>
    </row>
    <row r="25" spans="1:13">
      <c r="A25" s="40"/>
      <c r="B25" s="40"/>
      <c r="C25" s="43"/>
      <c r="D25" s="40"/>
      <c r="E25" s="40"/>
      <c r="F25" s="40"/>
      <c r="G25" s="40"/>
      <c r="H25" s="40"/>
      <c r="I25" s="40"/>
      <c r="J25" s="40"/>
      <c r="K25" s="40"/>
      <c r="L25" s="40"/>
      <c r="M25" s="41"/>
    </row>
  </sheetData>
  <mergeCells count="5">
    <mergeCell ref="A1:N1"/>
    <mergeCell ref="A2:L2"/>
    <mergeCell ref="A4:A6"/>
    <mergeCell ref="B4:K5"/>
    <mergeCell ref="L4:L5"/>
  </mergeCells>
  <hyperlinks>
    <hyperlink ref="P1" location="INDICE!Área_de_impresión" display="INDICE"/>
  </hyperlinks>
  <pageMargins left="0.74803149606299213" right="0.78740157480314965" top="0.6692913385826772" bottom="0.98425196850393704" header="0" footer="0"/>
  <pageSetup paperSize="9" orientation="landscape" horizontalDpi="300" verticalDpi="300" r:id="rId1"/>
  <headerFooter alignWithMargins="0">
    <oddFooter>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T41"/>
  <sheetViews>
    <sheetView showGridLines="0" zoomScale="90" zoomScaleNormal="90" workbookViewId="0">
      <selection sqref="A1:L1"/>
    </sheetView>
  </sheetViews>
  <sheetFormatPr baseColWidth="10" defaultRowHeight="12.75"/>
  <cols>
    <col min="1" max="1" width="18.28515625" style="8" customWidth="1"/>
    <col min="2" max="11" width="13.7109375" style="8" customWidth="1"/>
    <col min="12" max="12" width="11.5703125" style="8" customWidth="1"/>
    <col min="13" max="13" width="1.7109375" style="2" customWidth="1"/>
    <col min="14" max="14" width="12.140625" style="2" bestFit="1" customWidth="1"/>
    <col min="15" max="15" width="11.42578125" style="8"/>
    <col min="16" max="16" width="12.140625" style="13" bestFit="1" customWidth="1"/>
    <col min="17" max="16384" width="11.42578125" style="8"/>
  </cols>
  <sheetData>
    <row r="1" spans="1:20" s="30" customFormat="1" ht="30" customHeight="1">
      <c r="A1" s="323" t="s">
        <v>54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5"/>
      <c r="N1" s="31" t="s">
        <v>134</v>
      </c>
      <c r="O1" s="5"/>
      <c r="P1" s="5"/>
      <c r="Q1" s="19"/>
      <c r="R1" s="19"/>
      <c r="S1" s="19"/>
      <c r="T1" s="19"/>
    </row>
    <row r="2" spans="1:20" s="19" customFormat="1" ht="30" customHeight="1">
      <c r="A2" s="328" t="s">
        <v>136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P2" s="21"/>
    </row>
    <row r="3" spans="1:20" ht="8.1" customHeight="1"/>
    <row r="4" spans="1:20" ht="15" customHeight="1">
      <c r="A4" s="339" t="s">
        <v>289</v>
      </c>
      <c r="B4" s="334" t="s">
        <v>284</v>
      </c>
      <c r="C4" s="334"/>
      <c r="D4" s="334"/>
      <c r="E4" s="334"/>
      <c r="F4" s="334"/>
      <c r="G4" s="334"/>
      <c r="H4" s="334"/>
      <c r="I4" s="334"/>
      <c r="J4" s="334"/>
      <c r="K4" s="335"/>
      <c r="L4" s="336" t="s">
        <v>146</v>
      </c>
    </row>
    <row r="5" spans="1:20" ht="15" customHeight="1">
      <c r="A5" s="340"/>
      <c r="B5" s="79">
        <v>2015</v>
      </c>
      <c r="C5" s="80">
        <v>2016</v>
      </c>
      <c r="D5" s="79">
        <v>2017</v>
      </c>
      <c r="E5" s="80">
        <v>2018</v>
      </c>
      <c r="F5" s="79">
        <v>2019</v>
      </c>
      <c r="G5" s="80">
        <v>2020</v>
      </c>
      <c r="H5" s="79">
        <v>2021</v>
      </c>
      <c r="I5" s="80">
        <v>2022</v>
      </c>
      <c r="J5" s="79">
        <v>2023</v>
      </c>
      <c r="K5" s="80">
        <v>2024</v>
      </c>
      <c r="L5" s="337"/>
    </row>
    <row r="6" spans="1:20" ht="15" customHeight="1">
      <c r="A6" s="81" t="s">
        <v>0</v>
      </c>
      <c r="B6" s="104">
        <v>11055592.999999993</v>
      </c>
      <c r="C6" s="104">
        <v>11382312.000000004</v>
      </c>
      <c r="D6" s="104">
        <v>12079791.999999983</v>
      </c>
      <c r="E6" s="104">
        <v>13062191.000000039</v>
      </c>
      <c r="F6" s="104">
        <v>13233631.999999993</v>
      </c>
      <c r="G6" s="104">
        <v>13205558.000000028</v>
      </c>
      <c r="H6" s="104">
        <v>13897228.999999976</v>
      </c>
      <c r="I6" s="104">
        <v>14526548.000000078</v>
      </c>
      <c r="J6" s="104">
        <v>15014323.000000006</v>
      </c>
      <c r="K6" s="104">
        <v>14889352.999999987</v>
      </c>
      <c r="L6" s="123">
        <f>+K6/J6-1</f>
        <v>-8.3233856098618997E-3</v>
      </c>
    </row>
    <row r="7" spans="1:20" ht="15" customHeight="1">
      <c r="A7" s="146" t="s">
        <v>37</v>
      </c>
      <c r="B7" s="157">
        <v>7688975.9999999898</v>
      </c>
      <c r="C7" s="114">
        <v>7830700</v>
      </c>
      <c r="D7" s="114">
        <v>8217232.9999999702</v>
      </c>
      <c r="E7" s="114">
        <v>8848575.0000000391</v>
      </c>
      <c r="F7" s="114">
        <v>8950333.5353433806</v>
      </c>
      <c r="G7" s="114">
        <v>8881410.8240109291</v>
      </c>
      <c r="H7" s="114">
        <v>9210164.5682385303</v>
      </c>
      <c r="I7" s="114">
        <v>9545672.0000002291</v>
      </c>
      <c r="J7" s="114">
        <v>9790983.9999999609</v>
      </c>
      <c r="K7" s="114">
        <v>9652932.0000000503</v>
      </c>
      <c r="L7" s="94">
        <v>-1.4099910693339046E-2</v>
      </c>
    </row>
    <row r="8" spans="1:20" ht="15" customHeight="1">
      <c r="A8" s="149" t="s">
        <v>128</v>
      </c>
      <c r="B8" s="147">
        <v>0.82116871109276046</v>
      </c>
      <c r="C8" s="137">
        <v>0.82531935701640469</v>
      </c>
      <c r="D8" s="137">
        <v>0.82882324601133806</v>
      </c>
      <c r="E8" s="137">
        <v>0.83067748779007211</v>
      </c>
      <c r="F8" s="137">
        <v>0.83929242816492911</v>
      </c>
      <c r="G8" s="137">
        <v>0.83516120624894674</v>
      </c>
      <c r="H8" s="137">
        <v>0.82948760523042608</v>
      </c>
      <c r="I8" s="137">
        <v>0.79822238292041015</v>
      </c>
      <c r="J8" s="137">
        <v>0.79361858596029478</v>
      </c>
      <c r="K8" s="137">
        <v>0.76639144524273473</v>
      </c>
      <c r="L8" s="94"/>
    </row>
    <row r="9" spans="1:20" ht="15" customHeight="1">
      <c r="A9" s="149" t="s">
        <v>91</v>
      </c>
      <c r="B9" s="147">
        <v>0.17883128890723954</v>
      </c>
      <c r="C9" s="137">
        <v>0.17468064298359531</v>
      </c>
      <c r="D9" s="137">
        <v>0.17117675398866194</v>
      </c>
      <c r="E9" s="137">
        <v>0.16932251220992789</v>
      </c>
      <c r="F9" s="137">
        <v>0.16070757183507089</v>
      </c>
      <c r="G9" s="137">
        <v>0.16483879375105326</v>
      </c>
      <c r="H9" s="137">
        <v>0.17051239476957392</v>
      </c>
      <c r="I9" s="137">
        <v>0.20177761707958985</v>
      </c>
      <c r="J9" s="137">
        <v>0.20638141403970522</v>
      </c>
      <c r="K9" s="137">
        <v>0.23360855475726527</v>
      </c>
      <c r="L9" s="94"/>
    </row>
    <row r="10" spans="1:20" ht="15" customHeight="1">
      <c r="A10" s="151" t="s">
        <v>42</v>
      </c>
      <c r="B10" s="158">
        <v>850912.99999999895</v>
      </c>
      <c r="C10" s="158">
        <v>890324.00000000198</v>
      </c>
      <c r="D10" s="158">
        <v>931253.00000000105</v>
      </c>
      <c r="E10" s="158">
        <v>1008835</v>
      </c>
      <c r="F10" s="158">
        <v>1040350.58733639</v>
      </c>
      <c r="G10" s="158">
        <v>1043042.7295165299</v>
      </c>
      <c r="H10" s="158">
        <v>1106938.8505327799</v>
      </c>
      <c r="I10" s="158">
        <v>1182329.00000002</v>
      </c>
      <c r="J10" s="158">
        <v>1220647</v>
      </c>
      <c r="K10" s="158">
        <v>1272836</v>
      </c>
      <c r="L10" s="297">
        <v>4.2755194581234335E-2</v>
      </c>
    </row>
    <row r="11" spans="1:20" ht="15" customHeight="1">
      <c r="A11" s="148" t="s">
        <v>128</v>
      </c>
      <c r="B11" s="139">
        <v>0.60998059362622814</v>
      </c>
      <c r="C11" s="139">
        <v>0.62476077647064077</v>
      </c>
      <c r="D11" s="139">
        <v>0.64459662119815486</v>
      </c>
      <c r="E11" s="139">
        <v>0.66528184750675079</v>
      </c>
      <c r="F11" s="139">
        <v>0.6774671803198663</v>
      </c>
      <c r="G11" s="139">
        <v>0.66521724587751419</v>
      </c>
      <c r="H11" s="139">
        <v>0.66657537900496489</v>
      </c>
      <c r="I11" s="139">
        <v>0.64836501838450467</v>
      </c>
      <c r="J11" s="139">
        <v>0.64196228746177486</v>
      </c>
      <c r="K11" s="139">
        <v>0.62822167272391893</v>
      </c>
      <c r="L11" s="96"/>
    </row>
    <row r="12" spans="1:20" ht="15" customHeight="1">
      <c r="A12" s="150" t="s">
        <v>91</v>
      </c>
      <c r="B12" s="141">
        <v>0.39001940637377186</v>
      </c>
      <c r="C12" s="141">
        <v>0.37523922352935923</v>
      </c>
      <c r="D12" s="141">
        <v>0.35540337880184514</v>
      </c>
      <c r="E12" s="141">
        <v>0.33471815249324921</v>
      </c>
      <c r="F12" s="141">
        <v>0.3225328196801337</v>
      </c>
      <c r="G12" s="141">
        <v>0.33478275412248581</v>
      </c>
      <c r="H12" s="141">
        <v>0.33342462099503511</v>
      </c>
      <c r="I12" s="141">
        <v>0.35163498161549533</v>
      </c>
      <c r="J12" s="141">
        <v>0.35803771253822514</v>
      </c>
      <c r="K12" s="141">
        <v>0.37177832727608107</v>
      </c>
      <c r="L12" s="130"/>
    </row>
    <row r="13" spans="1:20" ht="15" customHeight="1">
      <c r="A13" s="153" t="s">
        <v>38</v>
      </c>
      <c r="B13" s="157">
        <v>399865</v>
      </c>
      <c r="C13" s="114">
        <v>398536.00000000099</v>
      </c>
      <c r="D13" s="114">
        <v>421200.00000000099</v>
      </c>
      <c r="E13" s="114">
        <v>436540</v>
      </c>
      <c r="F13" s="114">
        <v>438300.36206083099</v>
      </c>
      <c r="G13" s="114">
        <v>433566.60061157303</v>
      </c>
      <c r="H13" s="114">
        <v>436955.651297278</v>
      </c>
      <c r="I13" s="114">
        <v>469864.00000001199</v>
      </c>
      <c r="J13" s="114">
        <v>489679.00000000303</v>
      </c>
      <c r="K13" s="114">
        <v>496490</v>
      </c>
      <c r="L13" s="94">
        <v>1.3909111887583592E-2</v>
      </c>
    </row>
    <row r="14" spans="1:20" ht="15" customHeight="1">
      <c r="A14" s="154" t="s">
        <v>128</v>
      </c>
      <c r="B14" s="147">
        <v>0.47031654032622511</v>
      </c>
      <c r="C14" s="137">
        <v>0.47263615661240777</v>
      </c>
      <c r="D14" s="137">
        <v>0.47027382203459528</v>
      </c>
      <c r="E14" s="137">
        <v>0.46621676408557067</v>
      </c>
      <c r="F14" s="137">
        <v>0.46581961345740969</v>
      </c>
      <c r="G14" s="137">
        <v>0.45817793490659964</v>
      </c>
      <c r="H14" s="137">
        <v>0.45247335185719023</v>
      </c>
      <c r="I14" s="137">
        <v>0.43979392152640279</v>
      </c>
      <c r="J14" s="137">
        <v>0.44555246660700509</v>
      </c>
      <c r="K14" s="137">
        <v>0.42329883365609378</v>
      </c>
      <c r="L14" s="94"/>
    </row>
    <row r="15" spans="1:20" ht="15" customHeight="1">
      <c r="A15" s="155" t="s">
        <v>91</v>
      </c>
      <c r="B15" s="147">
        <v>0.52968345967377495</v>
      </c>
      <c r="C15" s="137">
        <v>0.52736384338759223</v>
      </c>
      <c r="D15" s="137">
        <v>0.52972617796540478</v>
      </c>
      <c r="E15" s="137">
        <v>0.53378323591442933</v>
      </c>
      <c r="F15" s="137">
        <v>0.53418038654259026</v>
      </c>
      <c r="G15" s="137">
        <v>0.54182206509340036</v>
      </c>
      <c r="H15" s="137">
        <v>0.54752664814280982</v>
      </c>
      <c r="I15" s="137">
        <v>0.56020607847359716</v>
      </c>
      <c r="J15" s="137">
        <v>0.55444753339299491</v>
      </c>
      <c r="K15" s="137">
        <v>0.57670116634390622</v>
      </c>
      <c r="L15" s="94"/>
      <c r="M15" s="8"/>
      <c r="N15" s="8"/>
      <c r="P15" s="8"/>
    </row>
    <row r="16" spans="1:20" ht="15" customHeight="1">
      <c r="A16" s="151" t="s">
        <v>40</v>
      </c>
      <c r="B16" s="158">
        <v>79309.999999999898</v>
      </c>
      <c r="C16" s="158">
        <v>78793</v>
      </c>
      <c r="D16" s="158">
        <v>73841.999999999898</v>
      </c>
      <c r="E16" s="158">
        <v>90858.999999999898</v>
      </c>
      <c r="F16" s="158">
        <v>86940</v>
      </c>
      <c r="G16" s="158">
        <v>72001</v>
      </c>
      <c r="H16" s="158">
        <v>69165</v>
      </c>
      <c r="I16" s="158">
        <v>64061.000000000102</v>
      </c>
      <c r="J16" s="158">
        <v>54114</v>
      </c>
      <c r="K16" s="158">
        <v>54307.999999999898</v>
      </c>
      <c r="L16" s="297">
        <v>3.5850242081532091E-3</v>
      </c>
      <c r="M16" s="8"/>
      <c r="N16" s="8"/>
      <c r="P16" s="8"/>
    </row>
    <row r="17" spans="1:16" ht="15" customHeight="1">
      <c r="A17" s="148" t="s">
        <v>128</v>
      </c>
      <c r="B17" s="139">
        <v>0.66360802866981805</v>
      </c>
      <c r="C17" s="139">
        <v>0.68204038370001396</v>
      </c>
      <c r="D17" s="139">
        <v>0.70022925717584128</v>
      </c>
      <c r="E17" s="139">
        <v>0.6713292617264891</v>
      </c>
      <c r="F17" s="139">
        <v>0.67357521169642631</v>
      </c>
      <c r="G17" s="139">
        <v>0.68409414298350157</v>
      </c>
      <c r="H17" s="139">
        <v>0.62875700675973833</v>
      </c>
      <c r="I17" s="139">
        <v>0.53681051401186286</v>
      </c>
      <c r="J17" s="139">
        <v>0.47538772277112762</v>
      </c>
      <c r="K17" s="139">
        <v>0.4329820975929245</v>
      </c>
      <c r="L17" s="96"/>
      <c r="M17" s="8"/>
      <c r="N17" s="8"/>
      <c r="P17" s="8"/>
    </row>
    <row r="18" spans="1:16" ht="15" customHeight="1">
      <c r="A18" s="150" t="s">
        <v>91</v>
      </c>
      <c r="B18" s="141">
        <v>0.33639197133018195</v>
      </c>
      <c r="C18" s="141">
        <v>0.31795961629998604</v>
      </c>
      <c r="D18" s="141">
        <v>0.29977074282415872</v>
      </c>
      <c r="E18" s="141">
        <v>0.3286707382735109</v>
      </c>
      <c r="F18" s="141">
        <v>0.32642478830357369</v>
      </c>
      <c r="G18" s="141">
        <v>0.31590585701649843</v>
      </c>
      <c r="H18" s="141">
        <v>0.37124299324026167</v>
      </c>
      <c r="I18" s="141">
        <v>0.46318948598813714</v>
      </c>
      <c r="J18" s="141">
        <v>0.52461227722887238</v>
      </c>
      <c r="K18" s="141">
        <v>0.5670179024070755</v>
      </c>
      <c r="L18" s="130"/>
      <c r="M18" s="8"/>
      <c r="N18" s="8"/>
      <c r="P18" s="8"/>
    </row>
    <row r="19" spans="1:16" ht="15" customHeight="1">
      <c r="A19" s="153" t="s">
        <v>41</v>
      </c>
      <c r="B19" s="157">
        <v>70905</v>
      </c>
      <c r="C19" s="114">
        <v>71785</v>
      </c>
      <c r="D19" s="114">
        <v>66063.999999999898</v>
      </c>
      <c r="E19" s="114">
        <v>59311</v>
      </c>
      <c r="F19" s="114">
        <v>53069</v>
      </c>
      <c r="G19" s="114">
        <v>42850.327859081102</v>
      </c>
      <c r="H19" s="114">
        <v>46492</v>
      </c>
      <c r="I19" s="114">
        <v>38860.000000000102</v>
      </c>
      <c r="J19" s="114">
        <v>53306</v>
      </c>
      <c r="K19" s="114">
        <v>34860</v>
      </c>
      <c r="L19" s="94">
        <v>-0.34603984542077815</v>
      </c>
      <c r="M19" s="8"/>
      <c r="N19" s="8"/>
      <c r="P19" s="8"/>
    </row>
    <row r="20" spans="1:16" ht="15" customHeight="1">
      <c r="A20" s="154" t="s">
        <v>128</v>
      </c>
      <c r="B20" s="147">
        <v>0.65663380521700865</v>
      </c>
      <c r="C20" s="137">
        <v>0.69520040127300975</v>
      </c>
      <c r="D20" s="137">
        <v>0.7310265857640148</v>
      </c>
      <c r="E20" s="137">
        <v>0.72504814240107229</v>
      </c>
      <c r="F20" s="137">
        <v>0.73658144479593557</v>
      </c>
      <c r="G20" s="137">
        <v>0.79719851926214036</v>
      </c>
      <c r="H20" s="137">
        <v>0.77430708273955517</v>
      </c>
      <c r="I20" s="137">
        <v>0.64961462279112803</v>
      </c>
      <c r="J20" s="137">
        <v>0.67373711297453953</v>
      </c>
      <c r="K20" s="137">
        <v>0.50438050748157193</v>
      </c>
      <c r="L20" s="94"/>
      <c r="M20" s="8"/>
      <c r="N20" s="8"/>
      <c r="P20" s="8"/>
    </row>
    <row r="21" spans="1:16" ht="15" customHeight="1">
      <c r="A21" s="155" t="s">
        <v>91</v>
      </c>
      <c r="B21" s="147">
        <v>0.34336619478299135</v>
      </c>
      <c r="C21" s="137">
        <v>0.30479959872699025</v>
      </c>
      <c r="D21" s="137">
        <v>0.2689734142359852</v>
      </c>
      <c r="E21" s="137">
        <v>0.27495185759892771</v>
      </c>
      <c r="F21" s="137">
        <v>0.26341855520406443</v>
      </c>
      <c r="G21" s="137">
        <v>0.20280148073785964</v>
      </c>
      <c r="H21" s="137">
        <v>0.22569291726044483</v>
      </c>
      <c r="I21" s="137">
        <v>0.35038537720887197</v>
      </c>
      <c r="J21" s="137">
        <v>0.32626288702546047</v>
      </c>
      <c r="K21" s="137">
        <v>0.49561949251842802</v>
      </c>
      <c r="L21" s="94"/>
      <c r="M21" s="8"/>
      <c r="N21" s="8"/>
      <c r="P21" s="8"/>
    </row>
    <row r="22" spans="1:16" ht="15" customHeight="1">
      <c r="A22" s="151" t="s">
        <v>39</v>
      </c>
      <c r="B22" s="158">
        <v>1213251</v>
      </c>
      <c r="C22" s="158">
        <v>1349973</v>
      </c>
      <c r="D22" s="158">
        <v>1566332</v>
      </c>
      <c r="E22" s="158">
        <v>1788926</v>
      </c>
      <c r="F22" s="158">
        <v>1810058.26185226</v>
      </c>
      <c r="G22" s="158">
        <v>1895407.82496802</v>
      </c>
      <c r="H22" s="158">
        <v>2127071.1109993299</v>
      </c>
      <c r="I22" s="158">
        <v>2291780.9999999702</v>
      </c>
      <c r="J22" s="158">
        <v>2451291</v>
      </c>
      <c r="K22" s="158">
        <v>2414096.9999999902</v>
      </c>
      <c r="L22" s="297">
        <v>-1.5173229127019239E-2</v>
      </c>
      <c r="M22" s="8"/>
      <c r="N22" s="8"/>
      <c r="P22" s="8"/>
    </row>
    <row r="23" spans="1:16" ht="15" customHeight="1">
      <c r="A23" s="148" t="s">
        <v>128</v>
      </c>
      <c r="B23" s="139">
        <v>0.26080789789400216</v>
      </c>
      <c r="C23" s="139">
        <v>0.29544844079422777</v>
      </c>
      <c r="D23" s="139">
        <v>0.30716433998248394</v>
      </c>
      <c r="E23" s="139">
        <v>0.33618550772778244</v>
      </c>
      <c r="F23" s="139">
        <v>0.34127141132680311</v>
      </c>
      <c r="G23" s="139">
        <v>0.34819502657943086</v>
      </c>
      <c r="H23" s="139">
        <v>0.36514179419156179</v>
      </c>
      <c r="I23" s="139">
        <v>0.40403382054503117</v>
      </c>
      <c r="J23" s="139">
        <v>0.41392964094914475</v>
      </c>
      <c r="K23" s="139">
        <v>0.40848088014881551</v>
      </c>
      <c r="L23" s="96"/>
      <c r="M23" s="8"/>
      <c r="N23" s="8"/>
      <c r="P23" s="8"/>
    </row>
    <row r="24" spans="1:16" ht="15" customHeight="1">
      <c r="A24" s="150" t="s">
        <v>91</v>
      </c>
      <c r="B24" s="141">
        <v>0.73919210210599784</v>
      </c>
      <c r="C24" s="141">
        <v>0.70455155920577228</v>
      </c>
      <c r="D24" s="141">
        <v>0.69283566001751606</v>
      </c>
      <c r="E24" s="141">
        <v>0.66381449227221756</v>
      </c>
      <c r="F24" s="141">
        <v>0.65872858867319684</v>
      </c>
      <c r="G24" s="141">
        <v>0.65180497342056909</v>
      </c>
      <c r="H24" s="141">
        <v>0.63485820580843821</v>
      </c>
      <c r="I24" s="141">
        <v>0.59596617945496888</v>
      </c>
      <c r="J24" s="141">
        <v>0.58607035905085525</v>
      </c>
      <c r="K24" s="141">
        <v>0.59151911985118444</v>
      </c>
      <c r="L24" s="130"/>
      <c r="M24" s="8"/>
      <c r="N24" s="8"/>
      <c r="P24" s="8"/>
    </row>
    <row r="25" spans="1:16" ht="15" customHeight="1">
      <c r="A25" s="153" t="s">
        <v>92</v>
      </c>
      <c r="B25" s="157">
        <v>662565.00000000303</v>
      </c>
      <c r="C25" s="114">
        <v>672002</v>
      </c>
      <c r="D25" s="114">
        <v>713889</v>
      </c>
      <c r="E25" s="114">
        <v>738285</v>
      </c>
      <c r="F25" s="114">
        <v>762678.85075229802</v>
      </c>
      <c r="G25" s="114">
        <v>752060.00752228894</v>
      </c>
      <c r="H25" s="114">
        <v>815391.40428048396</v>
      </c>
      <c r="I25" s="114">
        <v>844991.99999999697</v>
      </c>
      <c r="J25" s="114">
        <v>860285.99999999802</v>
      </c>
      <c r="K25" s="114">
        <v>864164.99999999895</v>
      </c>
      <c r="L25" s="94">
        <v>4.5089656230601349E-3</v>
      </c>
      <c r="M25" s="8"/>
      <c r="N25" s="8"/>
      <c r="P25" s="8"/>
    </row>
    <row r="26" spans="1:16" ht="15" customHeight="1">
      <c r="A26" s="154" t="s">
        <v>128</v>
      </c>
      <c r="B26" s="147">
        <v>0.17170620865478026</v>
      </c>
      <c r="C26" s="137">
        <v>0.16557059655738524</v>
      </c>
      <c r="D26" s="137">
        <v>0.16172332145943696</v>
      </c>
      <c r="E26" s="137">
        <v>0.15640056203783229</v>
      </c>
      <c r="F26" s="137">
        <v>0.14983634190351472</v>
      </c>
      <c r="G26" s="137">
        <v>0.15184699462609105</v>
      </c>
      <c r="H26" s="137">
        <v>0.14893083037488986</v>
      </c>
      <c r="I26" s="137">
        <v>0.15226454928959382</v>
      </c>
      <c r="J26" s="137">
        <v>0.17502625201528602</v>
      </c>
      <c r="K26" s="137">
        <v>0.17945769123942093</v>
      </c>
      <c r="L26" s="94"/>
    </row>
    <row r="27" spans="1:16" ht="15" customHeight="1">
      <c r="A27" s="155" t="s">
        <v>91</v>
      </c>
      <c r="B27" s="147">
        <v>0.82829379134521963</v>
      </c>
      <c r="C27" s="137">
        <v>0.83442940344261485</v>
      </c>
      <c r="D27" s="137">
        <v>0.8382766785405632</v>
      </c>
      <c r="E27" s="137">
        <v>0.84359943796216774</v>
      </c>
      <c r="F27" s="137">
        <v>0.85016365809648531</v>
      </c>
      <c r="G27" s="137">
        <v>0.84815300537390892</v>
      </c>
      <c r="H27" s="137">
        <v>0.85106916962511014</v>
      </c>
      <c r="I27" s="137">
        <v>0.84773545071040635</v>
      </c>
      <c r="J27" s="137">
        <v>0.82497374798471401</v>
      </c>
      <c r="K27" s="137">
        <v>0.82054230876057899</v>
      </c>
      <c r="L27" s="94"/>
      <c r="M27" s="8"/>
      <c r="N27" s="8"/>
      <c r="P27" s="8"/>
    </row>
    <row r="28" spans="1:16" ht="15" customHeight="1">
      <c r="A28" s="151" t="s">
        <v>1</v>
      </c>
      <c r="B28" s="158">
        <v>89808</v>
      </c>
      <c r="C28" s="158">
        <v>90199</v>
      </c>
      <c r="D28" s="158">
        <v>89979</v>
      </c>
      <c r="E28" s="158">
        <v>90860.000000000102</v>
      </c>
      <c r="F28" s="158">
        <v>91303.999999999898</v>
      </c>
      <c r="G28" s="158">
        <v>83729.999999999898</v>
      </c>
      <c r="H28" s="158">
        <v>84885</v>
      </c>
      <c r="I28" s="158">
        <v>88988.999999999898</v>
      </c>
      <c r="J28" s="158">
        <v>94015.999999999898</v>
      </c>
      <c r="K28" s="158">
        <v>99665</v>
      </c>
      <c r="L28" s="297">
        <v>6.0085517358747342E-2</v>
      </c>
      <c r="M28" s="8"/>
      <c r="N28" s="8"/>
      <c r="P28" s="8"/>
    </row>
    <row r="29" spans="1:16" ht="15" customHeight="1">
      <c r="A29" s="148" t="s">
        <v>128</v>
      </c>
      <c r="B29" s="139">
        <v>0.33391600893330997</v>
      </c>
      <c r="C29" s="139">
        <v>0.33270902549129705</v>
      </c>
      <c r="D29" s="139">
        <v>0.33365720182419339</v>
      </c>
      <c r="E29" s="139">
        <v>0.34207628066817591</v>
      </c>
      <c r="F29" s="139">
        <v>0.34949615979932463</v>
      </c>
      <c r="G29" s="139">
        <v>0.42770429415156025</v>
      </c>
      <c r="H29" s="139">
        <v>0.35631939012992753</v>
      </c>
      <c r="I29" s="139">
        <v>0.35703309465841998</v>
      </c>
      <c r="J29" s="139">
        <v>0.48797950958405967</v>
      </c>
      <c r="K29" s="139">
        <v>0.46660723512646968</v>
      </c>
      <c r="L29" s="96"/>
      <c r="M29" s="8"/>
      <c r="N29" s="8"/>
      <c r="P29" s="8"/>
    </row>
    <row r="30" spans="1:16" ht="15" customHeight="1">
      <c r="A30" s="150" t="s">
        <v>91</v>
      </c>
      <c r="B30" s="141">
        <v>0.66608399106669003</v>
      </c>
      <c r="C30" s="141">
        <v>0.66729097450870301</v>
      </c>
      <c r="D30" s="141">
        <v>0.66634279817580655</v>
      </c>
      <c r="E30" s="141">
        <v>0.65792371933182414</v>
      </c>
      <c r="F30" s="141">
        <v>0.65050384020067531</v>
      </c>
      <c r="G30" s="141">
        <v>0.5722957058484397</v>
      </c>
      <c r="H30" s="141">
        <v>0.64368060987007247</v>
      </c>
      <c r="I30" s="141">
        <v>0.64296690534158008</v>
      </c>
      <c r="J30" s="141">
        <v>0.51202049041594033</v>
      </c>
      <c r="K30" s="141">
        <v>0.53339276487353038</v>
      </c>
      <c r="L30" s="130"/>
      <c r="M30" s="8"/>
      <c r="N30" s="8"/>
      <c r="P30" s="8"/>
    </row>
    <row r="31" spans="1:16" ht="12.95" customHeight="1">
      <c r="M31" s="8"/>
      <c r="N31" s="8"/>
      <c r="P31" s="8"/>
    </row>
    <row r="32" spans="1:16" ht="12.95" customHeight="1">
      <c r="A32" s="38" t="s">
        <v>37</v>
      </c>
      <c r="B32" s="39" t="s">
        <v>52</v>
      </c>
      <c r="C32" s="44"/>
      <c r="D32" s="44"/>
      <c r="E32" s="44"/>
      <c r="F32" s="44"/>
      <c r="G32" s="44"/>
      <c r="H32" s="44"/>
      <c r="I32" s="44"/>
      <c r="J32" s="44"/>
      <c r="K32" s="44"/>
    </row>
    <row r="33" spans="1:16" ht="12.95" customHeight="1">
      <c r="A33" s="38" t="s">
        <v>42</v>
      </c>
      <c r="B33" s="39" t="s">
        <v>43</v>
      </c>
      <c r="C33" s="44"/>
      <c r="D33" s="44"/>
      <c r="E33" s="44"/>
      <c r="F33" s="44"/>
      <c r="G33" s="44"/>
      <c r="H33" s="44"/>
      <c r="I33" s="44"/>
      <c r="J33" s="44"/>
      <c r="K33" s="44"/>
      <c r="M33" s="8"/>
      <c r="N33" s="8"/>
      <c r="P33" s="8"/>
    </row>
    <row r="34" spans="1:16" ht="12.95" customHeight="1">
      <c r="A34" s="38" t="s">
        <v>38</v>
      </c>
      <c r="B34" s="39" t="s">
        <v>44</v>
      </c>
      <c r="C34" s="44"/>
      <c r="D34" s="44"/>
      <c r="E34" s="44"/>
      <c r="F34" s="44"/>
      <c r="G34" s="44"/>
      <c r="H34" s="44"/>
      <c r="I34" s="44"/>
      <c r="J34" s="44"/>
      <c r="K34" s="44"/>
      <c r="M34" s="8"/>
      <c r="N34" s="8"/>
      <c r="P34" s="8"/>
    </row>
    <row r="35" spans="1:16" ht="12.95" customHeight="1">
      <c r="A35" s="38" t="s">
        <v>48</v>
      </c>
      <c r="B35" s="39" t="s">
        <v>49</v>
      </c>
      <c r="C35" s="44"/>
      <c r="D35" s="44"/>
      <c r="E35" s="44"/>
      <c r="F35" s="44"/>
      <c r="G35" s="44"/>
      <c r="H35" s="44"/>
      <c r="I35" s="44"/>
      <c r="J35" s="44"/>
      <c r="K35" s="44"/>
      <c r="M35" s="8"/>
      <c r="N35" s="8"/>
      <c r="P35" s="8"/>
    </row>
    <row r="36" spans="1:16" ht="12.95" customHeight="1">
      <c r="A36" s="38" t="s">
        <v>1</v>
      </c>
      <c r="B36" s="39" t="s">
        <v>46</v>
      </c>
      <c r="C36" s="44"/>
      <c r="D36" s="44"/>
      <c r="E36" s="44"/>
      <c r="F36" s="44"/>
      <c r="G36" s="44"/>
      <c r="H36" s="44"/>
      <c r="I36" s="44"/>
      <c r="J36" s="44"/>
      <c r="K36" s="44"/>
      <c r="M36" s="8"/>
      <c r="N36" s="8"/>
      <c r="P36" s="8"/>
    </row>
    <row r="37" spans="1:16" ht="12.95" customHeight="1">
      <c r="A37" s="42"/>
      <c r="B37" s="39" t="s">
        <v>45</v>
      </c>
      <c r="C37" s="44"/>
      <c r="D37" s="44"/>
      <c r="E37" s="44"/>
      <c r="F37" s="44"/>
      <c r="G37" s="44"/>
      <c r="H37" s="44"/>
      <c r="I37" s="44"/>
      <c r="J37" s="44"/>
      <c r="K37" s="44"/>
      <c r="M37" s="8"/>
      <c r="N37" s="8"/>
      <c r="P37" s="8"/>
    </row>
    <row r="38" spans="1:16" ht="12.95" customHeight="1">
      <c r="A38" s="38"/>
      <c r="B38" s="39" t="s">
        <v>47</v>
      </c>
      <c r="C38" s="44"/>
      <c r="D38" s="44"/>
      <c r="E38" s="44"/>
      <c r="F38" s="44"/>
      <c r="G38" s="44"/>
      <c r="H38" s="44"/>
      <c r="I38" s="44"/>
      <c r="J38" s="44"/>
      <c r="K38" s="44"/>
    </row>
    <row r="39" spans="1:16" ht="12.9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M39" s="8"/>
      <c r="N39" s="8"/>
      <c r="P39" s="8"/>
    </row>
    <row r="40" spans="1:16" ht="12.9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M40" s="8"/>
      <c r="N40" s="8"/>
      <c r="P40" s="8"/>
    </row>
    <row r="41" spans="1:16" ht="12.95" customHeight="1">
      <c r="M41" s="8"/>
      <c r="N41" s="8"/>
      <c r="P41" s="8"/>
    </row>
  </sheetData>
  <mergeCells count="5">
    <mergeCell ref="A2:L2"/>
    <mergeCell ref="A1:L1"/>
    <mergeCell ref="A4:A5"/>
    <mergeCell ref="B4:K4"/>
    <mergeCell ref="L4:L5"/>
  </mergeCells>
  <hyperlinks>
    <hyperlink ref="N1" location="INDICE!Área_de_impresión" display="INDIC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Z24"/>
  <sheetViews>
    <sheetView showGridLines="0" zoomScale="90" zoomScaleNormal="90" workbookViewId="0">
      <selection sqref="A1:L1"/>
    </sheetView>
  </sheetViews>
  <sheetFormatPr baseColWidth="10" defaultRowHeight="12.75"/>
  <cols>
    <col min="1" max="1" width="17.42578125" style="8" customWidth="1"/>
    <col min="2" max="5" width="10.140625" style="8" customWidth="1"/>
    <col min="6" max="6" width="11.85546875" style="8" customWidth="1"/>
    <col min="7" max="11" width="10.140625" style="8" customWidth="1"/>
    <col min="12" max="12" width="11.42578125" style="8" customWidth="1"/>
    <col min="13" max="13" width="1.7109375" style="2" customWidth="1"/>
    <col min="14" max="14" width="13.7109375" style="2" customWidth="1"/>
    <col min="15" max="15" width="14.28515625" style="8" bestFit="1" customWidth="1"/>
    <col min="16" max="16" width="13.7109375" style="8" bestFit="1" customWidth="1"/>
    <col min="17" max="19" width="14.28515625" style="8" bestFit="1" customWidth="1"/>
    <col min="20" max="21" width="13.7109375" style="8" bestFit="1" customWidth="1"/>
    <col min="22" max="26" width="11.85546875" style="8" bestFit="1" customWidth="1"/>
    <col min="27" max="16384" width="11.42578125" style="8"/>
  </cols>
  <sheetData>
    <row r="1" spans="1:17" s="30" customFormat="1" ht="30" customHeight="1">
      <c r="A1" s="323" t="s">
        <v>54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5"/>
      <c r="M1" s="20"/>
      <c r="N1" s="31" t="s">
        <v>134</v>
      </c>
      <c r="O1" s="20"/>
      <c r="P1" s="20"/>
      <c r="Q1" s="20"/>
    </row>
    <row r="2" spans="1:17" s="20" customFormat="1" ht="30" customHeight="1">
      <c r="A2" s="326" t="s">
        <v>155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41"/>
      <c r="M2" s="19"/>
    </row>
    <row r="3" spans="1:17" ht="8.1" customHeight="1">
      <c r="A3" s="5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6"/>
    </row>
    <row r="4" spans="1:17" ht="15.75" customHeight="1">
      <c r="A4" s="339" t="s">
        <v>288</v>
      </c>
      <c r="B4" s="334" t="s">
        <v>284</v>
      </c>
      <c r="C4" s="334"/>
      <c r="D4" s="334"/>
      <c r="E4" s="334"/>
      <c r="F4" s="334"/>
      <c r="G4" s="334"/>
      <c r="H4" s="334"/>
      <c r="I4" s="334"/>
      <c r="J4" s="334"/>
      <c r="K4" s="335"/>
      <c r="L4" s="336" t="s">
        <v>156</v>
      </c>
      <c r="M4" s="8"/>
      <c r="N4" s="8"/>
    </row>
    <row r="5" spans="1:17" ht="15.75" customHeight="1">
      <c r="A5" s="340"/>
      <c r="B5" s="79">
        <v>2015</v>
      </c>
      <c r="C5" s="80">
        <v>2016</v>
      </c>
      <c r="D5" s="79">
        <v>2017</v>
      </c>
      <c r="E5" s="80">
        <v>2018</v>
      </c>
      <c r="F5" s="79">
        <v>2019</v>
      </c>
      <c r="G5" s="80">
        <v>2020</v>
      </c>
      <c r="H5" s="79">
        <v>2021</v>
      </c>
      <c r="I5" s="80">
        <v>2022</v>
      </c>
      <c r="J5" s="79">
        <v>2023</v>
      </c>
      <c r="K5" s="80">
        <v>2024</v>
      </c>
      <c r="L5" s="337"/>
      <c r="M5" s="8"/>
      <c r="N5" s="8"/>
    </row>
    <row r="6" spans="1:17" ht="15" customHeight="1">
      <c r="A6" s="81" t="s">
        <v>0</v>
      </c>
      <c r="B6" s="144">
        <v>0.20002863375715021</v>
      </c>
      <c r="C6" s="144">
        <v>0.20478190792615253</v>
      </c>
      <c r="D6" s="144">
        <v>0.21198613195484065</v>
      </c>
      <c r="E6" s="144">
        <v>0.21731332373544324</v>
      </c>
      <c r="F6" s="144">
        <v>0.21558369900570737</v>
      </c>
      <c r="G6" s="144">
        <v>0.14772939081320494</v>
      </c>
      <c r="H6" s="144">
        <v>0.19279778708152143</v>
      </c>
      <c r="I6" s="144">
        <v>0.22003452407205104</v>
      </c>
      <c r="J6" s="144">
        <v>0.22082220548673473</v>
      </c>
      <c r="K6" s="144">
        <v>0.21554170441710616</v>
      </c>
      <c r="L6" s="103">
        <v>-0.53</v>
      </c>
      <c r="M6" s="8"/>
      <c r="N6" s="8"/>
    </row>
    <row r="7" spans="1:17" ht="15" customHeight="1">
      <c r="A7" s="132" t="s">
        <v>37</v>
      </c>
      <c r="B7" s="137">
        <v>0.21926571558200258</v>
      </c>
      <c r="C7" s="137">
        <v>0.22540471986267616</v>
      </c>
      <c r="D7" s="137">
        <v>0.23542199800579025</v>
      </c>
      <c r="E7" s="137">
        <v>0.24262847447826416</v>
      </c>
      <c r="F7" s="138">
        <v>0.23995762486391115</v>
      </c>
      <c r="G7" s="137">
        <v>0.16247154144579742</v>
      </c>
      <c r="H7" s="137">
        <v>0.21523335541727845</v>
      </c>
      <c r="I7" s="137">
        <v>0.24785614350416424</v>
      </c>
      <c r="J7" s="137">
        <v>0.2492955594423184</v>
      </c>
      <c r="K7" s="138">
        <v>0.2427042880024749</v>
      </c>
      <c r="L7" s="106">
        <v>-0.66</v>
      </c>
      <c r="M7" s="8"/>
      <c r="N7" s="8"/>
    </row>
    <row r="8" spans="1:17" ht="15" customHeight="1">
      <c r="A8" s="133" t="s">
        <v>42</v>
      </c>
      <c r="B8" s="139">
        <v>0.1585194472851913</v>
      </c>
      <c r="C8" s="139">
        <v>0.17230347299177917</v>
      </c>
      <c r="D8" s="139">
        <v>0.18299882668191314</v>
      </c>
      <c r="E8" s="139">
        <v>0.18701363675363702</v>
      </c>
      <c r="F8" s="139">
        <v>0.18695568712636262</v>
      </c>
      <c r="G8" s="139">
        <v>0.14553433490485995</v>
      </c>
      <c r="H8" s="139">
        <v>0.19280805325177514</v>
      </c>
      <c r="I8" s="139">
        <v>0.22581834578919618</v>
      </c>
      <c r="J8" s="139">
        <v>0.23441655242252346</v>
      </c>
      <c r="K8" s="139">
        <v>0.23564224897998909</v>
      </c>
      <c r="L8" s="107">
        <v>0.12</v>
      </c>
      <c r="M8" s="8"/>
      <c r="N8" s="8"/>
    </row>
    <row r="9" spans="1:17" ht="15" customHeight="1">
      <c r="A9" s="134" t="s">
        <v>38</v>
      </c>
      <c r="B9" s="140">
        <v>5.4736940523100575E-2</v>
      </c>
      <c r="C9" s="140">
        <v>5.7070800555225107E-2</v>
      </c>
      <c r="D9" s="140">
        <v>5.239819722098208E-2</v>
      </c>
      <c r="E9" s="140">
        <v>5.9600358362964553E-2</v>
      </c>
      <c r="F9" s="140">
        <v>6.4045012070034255E-2</v>
      </c>
      <c r="G9" s="140">
        <v>6.412261937438106E-2</v>
      </c>
      <c r="H9" s="140">
        <v>8.6697342921547668E-2</v>
      </c>
      <c r="I9" s="140">
        <v>9.8895037584109169E-2</v>
      </c>
      <c r="J9" s="140">
        <v>9.6467243545149572E-2</v>
      </c>
      <c r="K9" s="140">
        <v>8.9601608471379005E-2</v>
      </c>
      <c r="L9" s="109">
        <v>-0.69</v>
      </c>
      <c r="M9" s="8"/>
      <c r="N9" s="8"/>
    </row>
    <row r="10" spans="1:17" ht="15" customHeight="1">
      <c r="A10" s="133" t="s">
        <v>40</v>
      </c>
      <c r="B10" s="139">
        <v>7.094711370492747E-2</v>
      </c>
      <c r="C10" s="139">
        <v>7.7056185098283894E-2</v>
      </c>
      <c r="D10" s="139">
        <v>8.9544164258085229E-2</v>
      </c>
      <c r="E10" s="139">
        <v>0.11159692306513488</v>
      </c>
      <c r="F10" s="139">
        <v>7.909751118833061E-2</v>
      </c>
      <c r="G10" s="139">
        <v>5.5993789647550758E-2</v>
      </c>
      <c r="H10" s="139">
        <v>6.4753527420311319E-2</v>
      </c>
      <c r="I10" s="139">
        <v>8.5115370766609508E-2</v>
      </c>
      <c r="J10" s="139">
        <v>0.11296346650340655</v>
      </c>
      <c r="K10" s="139">
        <v>0.10359613062798012</v>
      </c>
      <c r="L10" s="107">
        <v>-0.94</v>
      </c>
      <c r="M10" s="8"/>
      <c r="N10" s="8"/>
    </row>
    <row r="11" spans="1:17" ht="15" customHeight="1">
      <c r="A11" s="134" t="s">
        <v>41</v>
      </c>
      <c r="B11" s="140">
        <v>7.7601097351864684E-2</v>
      </c>
      <c r="C11" s="140">
        <v>7.4441497198797141E-2</v>
      </c>
      <c r="D11" s="140">
        <v>8.7380477552447947E-2</v>
      </c>
      <c r="E11" s="140">
        <v>0.10508488437298943</v>
      </c>
      <c r="F11" s="140">
        <v>0.10501503536826227</v>
      </c>
      <c r="G11" s="140">
        <v>7.0930460857546423E-2</v>
      </c>
      <c r="H11" s="140">
        <v>7.7751976432072115E-2</v>
      </c>
      <c r="I11" s="140">
        <v>0.10644103231232505</v>
      </c>
      <c r="J11" s="140">
        <v>6.6046243064552979E-2</v>
      </c>
      <c r="K11" s="140">
        <v>0.1214261435785489</v>
      </c>
      <c r="L11" s="109">
        <v>5.54</v>
      </c>
      <c r="M11" s="8"/>
      <c r="N11" s="8"/>
    </row>
    <row r="12" spans="1:17" ht="15" customHeight="1">
      <c r="A12" s="133" t="s">
        <v>39</v>
      </c>
      <c r="B12" s="139">
        <v>8.9743099471554844E-2</v>
      </c>
      <c r="C12" s="139">
        <v>8.2111600890270489E-2</v>
      </c>
      <c r="D12" s="139">
        <v>6.4031664697846796E-2</v>
      </c>
      <c r="E12" s="139">
        <v>6.021838686873969E-2</v>
      </c>
      <c r="F12" s="139">
        <v>6.5730306975335745E-2</v>
      </c>
      <c r="G12" s="139">
        <v>4.8509664760609458E-2</v>
      </c>
      <c r="H12" s="139">
        <v>4.3022724651748008E-2</v>
      </c>
      <c r="I12" s="139">
        <v>5.301973875176768E-2</v>
      </c>
      <c r="J12" s="139">
        <v>6.3359029685509563E-2</v>
      </c>
      <c r="K12" s="139">
        <v>6.4257376414592421E-2</v>
      </c>
      <c r="L12" s="107">
        <v>0.09</v>
      </c>
      <c r="M12" s="8"/>
      <c r="N12" s="8"/>
    </row>
    <row r="13" spans="1:17" ht="15" customHeight="1">
      <c r="A13" s="134" t="s">
        <v>48</v>
      </c>
      <c r="B13" s="140">
        <v>1.8696185157524772E-2</v>
      </c>
      <c r="C13" s="140">
        <v>2.0069425647756694E-2</v>
      </c>
      <c r="D13" s="140">
        <v>1.7730235342348959E-2</v>
      </c>
      <c r="E13" s="140">
        <v>1.96937357448367E-2</v>
      </c>
      <c r="F13" s="140">
        <v>2.0257793053637434E-2</v>
      </c>
      <c r="G13" s="140">
        <v>1.979017997232272E-2</v>
      </c>
      <c r="H13" s="140">
        <v>2.339486233071059E-2</v>
      </c>
      <c r="I13" s="140">
        <v>2.4537097201107808E-2</v>
      </c>
      <c r="J13" s="140">
        <v>2.0182950343629033E-2</v>
      </c>
      <c r="K13" s="140">
        <v>1.6204429276342438E-2</v>
      </c>
      <c r="L13" s="109">
        <v>-0.4</v>
      </c>
      <c r="M13" s="8"/>
      <c r="N13" s="8"/>
    </row>
    <row r="14" spans="1:17" ht="15" customHeight="1">
      <c r="A14" s="135" t="s">
        <v>1</v>
      </c>
      <c r="B14" s="141">
        <v>4.7551832691817716E-2</v>
      </c>
      <c r="C14" s="141">
        <v>5.3315523477691369E-2</v>
      </c>
      <c r="D14" s="141">
        <v>5.7390976185561542E-2</v>
      </c>
      <c r="E14" s="141">
        <v>5.4245270132995196E-2</v>
      </c>
      <c r="F14" s="141">
        <v>6.593462235269329E-2</v>
      </c>
      <c r="G14" s="141">
        <v>3.652439594949973E-2</v>
      </c>
      <c r="H14" s="141">
        <v>6.6421629744816135E-2</v>
      </c>
      <c r="I14" s="141">
        <v>9.1590027251447548E-2</v>
      </c>
      <c r="J14" s="141">
        <v>8.0191148192874678E-2</v>
      </c>
      <c r="K14" s="141">
        <v>8.2916867295604477E-2</v>
      </c>
      <c r="L14" s="145">
        <v>0.27</v>
      </c>
      <c r="M14" s="8"/>
      <c r="N14" s="8"/>
    </row>
    <row r="15" spans="1:17">
      <c r="A15" s="5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6"/>
    </row>
    <row r="16" spans="1:17">
      <c r="A16" s="44" t="s">
        <v>143</v>
      </c>
    </row>
    <row r="18" spans="1:26">
      <c r="A18" s="10" t="s">
        <v>37</v>
      </c>
      <c r="B18" s="11" t="s">
        <v>52</v>
      </c>
    </row>
    <row r="19" spans="1:26">
      <c r="A19" s="10" t="s">
        <v>42</v>
      </c>
      <c r="B19" s="11" t="s">
        <v>43</v>
      </c>
    </row>
    <row r="20" spans="1:26">
      <c r="A20" s="10" t="s">
        <v>38</v>
      </c>
      <c r="B20" s="11" t="s">
        <v>44</v>
      </c>
    </row>
    <row r="21" spans="1:26" ht="13.5" customHeight="1">
      <c r="A21" s="10" t="s">
        <v>48</v>
      </c>
      <c r="B21" s="11" t="s">
        <v>49</v>
      </c>
    </row>
    <row r="22" spans="1:26">
      <c r="A22" s="10" t="s">
        <v>1</v>
      </c>
      <c r="B22" s="11" t="s">
        <v>46</v>
      </c>
    </row>
    <row r="23" spans="1:26">
      <c r="A23" s="12"/>
      <c r="B23" s="11" t="s">
        <v>45</v>
      </c>
      <c r="J23" s="16"/>
      <c r="K23" s="16"/>
      <c r="L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>
      <c r="A24" s="10"/>
      <c r="B24" s="11" t="s">
        <v>47</v>
      </c>
    </row>
  </sheetData>
  <mergeCells count="5">
    <mergeCell ref="A2:L2"/>
    <mergeCell ref="A1:L1"/>
    <mergeCell ref="A4:A5"/>
    <mergeCell ref="B4:K4"/>
    <mergeCell ref="L4:L5"/>
  </mergeCells>
  <hyperlinks>
    <hyperlink ref="N1" location="INDICE!Área_de_impresión" display="INDICE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Q61"/>
  <sheetViews>
    <sheetView showGridLines="0" zoomScale="90" zoomScaleNormal="90" workbookViewId="0">
      <selection sqref="A1:G1"/>
    </sheetView>
  </sheetViews>
  <sheetFormatPr baseColWidth="10" defaultRowHeight="12.75"/>
  <cols>
    <col min="1" max="1" width="29.42578125" style="8" customWidth="1"/>
    <col min="2" max="2" width="18.28515625" style="8" bestFit="1" customWidth="1"/>
    <col min="3" max="7" width="13.7109375" style="8" customWidth="1"/>
    <col min="8" max="8" width="1.7109375" style="8" customWidth="1"/>
    <col min="9" max="12" width="11.42578125" style="8"/>
    <col min="13" max="13" width="0.5703125" style="2" customWidth="1"/>
    <col min="14" max="14" width="11.42578125" style="2"/>
    <col min="15" max="16384" width="11.42578125" style="8"/>
  </cols>
  <sheetData>
    <row r="1" spans="1:17" s="30" customFormat="1" ht="30" customHeight="1">
      <c r="A1" s="323" t="s">
        <v>54</v>
      </c>
      <c r="B1" s="324"/>
      <c r="C1" s="324"/>
      <c r="D1" s="324"/>
      <c r="E1" s="324"/>
      <c r="F1" s="324"/>
      <c r="G1" s="325"/>
      <c r="H1" s="8"/>
      <c r="I1" s="31" t="s">
        <v>134</v>
      </c>
      <c r="J1" s="8"/>
      <c r="K1" s="8"/>
      <c r="L1" s="8"/>
      <c r="M1" s="8"/>
      <c r="N1" s="8"/>
      <c r="O1" s="8"/>
      <c r="P1" s="8"/>
      <c r="Q1" s="8"/>
    </row>
    <row r="2" spans="1:17" ht="30" customHeight="1">
      <c r="A2" s="328" t="s">
        <v>290</v>
      </c>
      <c r="B2" s="328"/>
      <c r="C2" s="328"/>
      <c r="D2" s="328"/>
      <c r="E2" s="328"/>
      <c r="F2" s="328"/>
      <c r="G2" s="338"/>
      <c r="M2" s="19"/>
    </row>
    <row r="3" spans="1:17" ht="8.1" customHeight="1">
      <c r="M3" s="8"/>
      <c r="N3" s="8"/>
    </row>
    <row r="4" spans="1:17" ht="18">
      <c r="A4" s="342" t="s">
        <v>224</v>
      </c>
      <c r="B4" s="343"/>
      <c r="C4" s="164">
        <v>2024</v>
      </c>
      <c r="D4" s="306" t="s">
        <v>266</v>
      </c>
      <c r="E4" s="165">
        <v>2023</v>
      </c>
      <c r="F4" s="306" t="s">
        <v>266</v>
      </c>
      <c r="G4" s="307" t="s">
        <v>144</v>
      </c>
      <c r="M4" s="19"/>
    </row>
    <row r="5" spans="1:17" s="5" customFormat="1" ht="15" customHeight="1">
      <c r="A5" s="344" t="s">
        <v>0</v>
      </c>
      <c r="B5" s="345"/>
      <c r="C5" s="166">
        <v>2077069</v>
      </c>
      <c r="D5" s="167">
        <v>1</v>
      </c>
      <c r="E5" s="166">
        <v>2218125</v>
      </c>
      <c r="F5" s="167">
        <v>1</v>
      </c>
      <c r="G5" s="168">
        <v>-6.359244857706392E-2</v>
      </c>
    </row>
    <row r="6" spans="1:17" ht="15" customHeight="1">
      <c r="A6" s="160" t="s">
        <v>141</v>
      </c>
      <c r="B6" s="169"/>
      <c r="C6" s="170">
        <v>257259</v>
      </c>
      <c r="D6" s="169">
        <v>0.12385674236147186</v>
      </c>
      <c r="E6" s="170">
        <v>264380</v>
      </c>
      <c r="F6" s="169">
        <v>0.11919075795998874</v>
      </c>
      <c r="G6" s="171">
        <v>-2.6934715182691527E-2</v>
      </c>
      <c r="M6" s="15"/>
      <c r="N6" s="15"/>
    </row>
    <row r="7" spans="1:17" ht="15" customHeight="1">
      <c r="A7" s="161" t="s">
        <v>104</v>
      </c>
      <c r="B7" s="172"/>
      <c r="C7" s="173">
        <v>914794</v>
      </c>
      <c r="D7" s="174">
        <v>0.44042542640615212</v>
      </c>
      <c r="E7" s="173">
        <v>962008</v>
      </c>
      <c r="F7" s="174">
        <v>0.43370324034939417</v>
      </c>
      <c r="G7" s="175">
        <v>-4.9078593941006776E-2</v>
      </c>
    </row>
    <row r="8" spans="1:17" ht="15" customHeight="1">
      <c r="A8" s="162" t="s">
        <v>2</v>
      </c>
      <c r="B8" s="169"/>
      <c r="C8" s="176">
        <v>963034</v>
      </c>
      <c r="D8" s="177">
        <v>0.46365046129907095</v>
      </c>
      <c r="E8" s="176">
        <v>1022102</v>
      </c>
      <c r="F8" s="177">
        <v>0.46079549168779937</v>
      </c>
      <c r="G8" s="178">
        <v>-5.779070973347078E-2</v>
      </c>
      <c r="M8" s="15"/>
      <c r="N8" s="15"/>
    </row>
    <row r="9" spans="1:17" ht="15" customHeight="1">
      <c r="A9" s="161"/>
      <c r="B9" s="179" t="s">
        <v>93</v>
      </c>
      <c r="C9" s="180">
        <v>68406</v>
      </c>
      <c r="D9" s="181">
        <v>3.2933908310219834E-2</v>
      </c>
      <c r="E9" s="180">
        <v>74692</v>
      </c>
      <c r="F9" s="181">
        <v>3.3673485488870107E-2</v>
      </c>
      <c r="G9" s="182">
        <v>-8.4158946071868468E-2</v>
      </c>
      <c r="M9" s="15"/>
      <c r="N9" s="15"/>
    </row>
    <row r="10" spans="1:17" ht="15" customHeight="1">
      <c r="A10" s="162"/>
      <c r="B10" s="183" t="s">
        <v>94</v>
      </c>
      <c r="C10" s="184">
        <v>98702</v>
      </c>
      <c r="D10" s="185">
        <v>4.7519846475971669E-2</v>
      </c>
      <c r="E10" s="184">
        <v>104406</v>
      </c>
      <c r="F10" s="185">
        <v>4.7069484361792056E-2</v>
      </c>
      <c r="G10" s="186">
        <v>-5.4632875505239209E-2</v>
      </c>
      <c r="M10" s="15"/>
      <c r="N10" s="15"/>
    </row>
    <row r="11" spans="1:17" ht="15" customHeight="1">
      <c r="A11" s="161"/>
      <c r="B11" s="179" t="s">
        <v>95</v>
      </c>
      <c r="C11" s="180">
        <v>67433</v>
      </c>
      <c r="D11" s="181">
        <v>3.2465459741587786E-2</v>
      </c>
      <c r="E11" s="180">
        <v>73284</v>
      </c>
      <c r="F11" s="181">
        <v>3.3038715131022821E-2</v>
      </c>
      <c r="G11" s="182">
        <v>-7.9840074231755875E-2</v>
      </c>
      <c r="M11" s="15"/>
      <c r="N11" s="15"/>
    </row>
    <row r="12" spans="1:17" ht="15" customHeight="1">
      <c r="A12" s="162"/>
      <c r="B12" s="183" t="s">
        <v>96</v>
      </c>
      <c r="C12" s="184">
        <v>85167</v>
      </c>
      <c r="D12" s="185">
        <v>4.100345246113634E-2</v>
      </c>
      <c r="E12" s="184">
        <v>90399</v>
      </c>
      <c r="F12" s="185">
        <v>4.0754691462383773E-2</v>
      </c>
      <c r="G12" s="186">
        <v>-5.7876746424186054E-2</v>
      </c>
      <c r="M12" s="15"/>
      <c r="N12" s="15"/>
    </row>
    <row r="13" spans="1:17" ht="15" customHeight="1">
      <c r="A13" s="161"/>
      <c r="B13" s="179" t="s">
        <v>97</v>
      </c>
      <c r="C13" s="180">
        <v>47248</v>
      </c>
      <c r="D13" s="181">
        <v>2.2747438818835581E-2</v>
      </c>
      <c r="E13" s="180">
        <v>49783</v>
      </c>
      <c r="F13" s="181">
        <v>2.2443730628346013E-2</v>
      </c>
      <c r="G13" s="182">
        <v>-5.0920997127533507E-2</v>
      </c>
      <c r="M13" s="15"/>
      <c r="N13" s="15"/>
    </row>
    <row r="14" spans="1:17" ht="15" customHeight="1">
      <c r="A14" s="162"/>
      <c r="B14" s="183" t="s">
        <v>98</v>
      </c>
      <c r="C14" s="184">
        <v>34741</v>
      </c>
      <c r="D14" s="185">
        <v>1.6725972993675221E-2</v>
      </c>
      <c r="E14" s="184">
        <v>34664</v>
      </c>
      <c r="F14" s="185">
        <v>1.5627613412228798E-2</v>
      </c>
      <c r="G14" s="186">
        <v>2.2213247172859774E-3</v>
      </c>
      <c r="M14" s="15"/>
      <c r="N14" s="15"/>
    </row>
    <row r="15" spans="1:17" ht="15" customHeight="1">
      <c r="A15" s="161"/>
      <c r="B15" s="179" t="s">
        <v>99</v>
      </c>
      <c r="C15" s="180">
        <v>117348</v>
      </c>
      <c r="D15" s="181">
        <v>5.64969194571774E-2</v>
      </c>
      <c r="E15" s="180">
        <v>123520</v>
      </c>
      <c r="F15" s="181">
        <v>5.5686672302056921E-2</v>
      </c>
      <c r="G15" s="182">
        <v>-4.9967616580310903E-2</v>
      </c>
      <c r="M15" s="15"/>
      <c r="N15" s="15"/>
    </row>
    <row r="16" spans="1:17" ht="15" customHeight="1">
      <c r="A16" s="162"/>
      <c r="B16" s="183" t="s">
        <v>100</v>
      </c>
      <c r="C16" s="184">
        <v>138506</v>
      </c>
      <c r="D16" s="185">
        <v>6.6683388948561656E-2</v>
      </c>
      <c r="E16" s="184">
        <v>146884</v>
      </c>
      <c r="F16" s="185">
        <v>6.6219892927585233E-2</v>
      </c>
      <c r="G16" s="186">
        <v>-5.7038207020505993E-2</v>
      </c>
    </row>
    <row r="17" spans="1:7" ht="15" customHeight="1">
      <c r="A17" s="161"/>
      <c r="B17" s="179" t="s">
        <v>101</v>
      </c>
      <c r="C17" s="180">
        <v>21141</v>
      </c>
      <c r="D17" s="181">
        <v>1.0178284881243714E-2</v>
      </c>
      <c r="E17" s="180">
        <v>24013</v>
      </c>
      <c r="F17" s="181">
        <v>1.0825810087348548E-2</v>
      </c>
      <c r="G17" s="182">
        <v>-0.11960188231374669</v>
      </c>
    </row>
    <row r="18" spans="1:7" ht="15" customHeight="1">
      <c r="A18" s="162"/>
      <c r="B18" s="183" t="s">
        <v>102</v>
      </c>
      <c r="C18" s="184">
        <v>68512</v>
      </c>
      <c r="D18" s="185">
        <v>3.2984941761684372E-2</v>
      </c>
      <c r="E18" s="184">
        <v>71137</v>
      </c>
      <c r="F18" s="185">
        <v>3.2070780501549732E-2</v>
      </c>
      <c r="G18" s="186">
        <v>-3.6900628364985866E-2</v>
      </c>
    </row>
    <row r="19" spans="1:7" ht="15" customHeight="1">
      <c r="A19" s="161"/>
      <c r="B19" s="179" t="s">
        <v>65</v>
      </c>
      <c r="C19" s="180">
        <v>215830</v>
      </c>
      <c r="D19" s="181">
        <v>0.10391084744897738</v>
      </c>
      <c r="E19" s="180">
        <v>229319</v>
      </c>
      <c r="F19" s="181">
        <v>0.10338416455339532</v>
      </c>
      <c r="G19" s="182">
        <v>-5.8821990327883822E-2</v>
      </c>
    </row>
    <row r="20" spans="1:7" ht="15" customHeight="1">
      <c r="A20" s="162" t="s">
        <v>3</v>
      </c>
      <c r="B20" s="169"/>
      <c r="C20" s="176">
        <v>4210</v>
      </c>
      <c r="D20" s="177">
        <v>2.0268946289218122E-3</v>
      </c>
      <c r="E20" s="176">
        <v>4597</v>
      </c>
      <c r="F20" s="177">
        <v>2.0724711186249647E-3</v>
      </c>
      <c r="G20" s="178">
        <v>-8.4185338264085252E-2</v>
      </c>
    </row>
    <row r="21" spans="1:7" ht="15" customHeight="1">
      <c r="A21" s="161" t="s">
        <v>16</v>
      </c>
      <c r="B21" s="172"/>
      <c r="C21" s="173">
        <v>17261</v>
      </c>
      <c r="D21" s="174">
        <v>8.3102679785794307E-3</v>
      </c>
      <c r="E21" s="173">
        <v>18462</v>
      </c>
      <c r="F21" s="174">
        <v>8.3232459847844466E-3</v>
      </c>
      <c r="G21" s="175">
        <v>-6.5052540353157884E-2</v>
      </c>
    </row>
    <row r="22" spans="1:7" ht="15" customHeight="1">
      <c r="A22" s="162" t="s">
        <v>17</v>
      </c>
      <c r="B22" s="169"/>
      <c r="C22" s="176">
        <v>40685</v>
      </c>
      <c r="D22" s="177">
        <v>1.9587697856932051E-2</v>
      </c>
      <c r="E22" s="176">
        <v>46276</v>
      </c>
      <c r="F22" s="177">
        <v>2.0862665539588616E-2</v>
      </c>
      <c r="G22" s="178">
        <v>-0.12081856685971126</v>
      </c>
    </row>
    <row r="23" spans="1:7" ht="15" customHeight="1">
      <c r="A23" s="161" t="s">
        <v>4</v>
      </c>
      <c r="B23" s="172"/>
      <c r="C23" s="173">
        <v>185149</v>
      </c>
      <c r="D23" s="174">
        <v>8.9139551935925099E-2</v>
      </c>
      <c r="E23" s="173">
        <v>211597</v>
      </c>
      <c r="F23" s="174">
        <v>9.5394533671456755E-2</v>
      </c>
      <c r="G23" s="175">
        <v>-0.12499232030699869</v>
      </c>
    </row>
    <row r="24" spans="1:7" ht="15" customHeight="1">
      <c r="A24" s="162"/>
      <c r="B24" s="183" t="s">
        <v>51</v>
      </c>
      <c r="C24" s="184">
        <v>93030</v>
      </c>
      <c r="D24" s="185">
        <v>4.4789075374963468E-2</v>
      </c>
      <c r="E24" s="184">
        <v>108847</v>
      </c>
      <c r="F24" s="185">
        <v>4.9071625810087345E-2</v>
      </c>
      <c r="G24" s="186">
        <v>-0.1453140646963168</v>
      </c>
    </row>
    <row r="25" spans="1:7" ht="15" customHeight="1">
      <c r="A25" s="161" t="s">
        <v>5</v>
      </c>
      <c r="B25" s="172"/>
      <c r="C25" s="173">
        <v>14894</v>
      </c>
      <c r="D25" s="174">
        <v>7.170681378423153E-3</v>
      </c>
      <c r="E25" s="173">
        <v>16632</v>
      </c>
      <c r="F25" s="174">
        <v>7.4982248520710061E-3</v>
      </c>
      <c r="G25" s="175">
        <v>-0.10449735449735453</v>
      </c>
    </row>
    <row r="26" spans="1:7" ht="15" customHeight="1">
      <c r="A26" s="162" t="s">
        <v>6</v>
      </c>
      <c r="B26" s="169"/>
      <c r="C26" s="176">
        <v>45917</v>
      </c>
      <c r="D26" s="177">
        <v>2.2106631989596878E-2</v>
      </c>
      <c r="E26" s="176">
        <v>49299</v>
      </c>
      <c r="F26" s="177">
        <v>2.2225528317836009E-2</v>
      </c>
      <c r="G26" s="178">
        <v>-6.8601797196697678E-2</v>
      </c>
    </row>
    <row r="27" spans="1:7" ht="15" customHeight="1">
      <c r="A27" s="161" t="s">
        <v>18</v>
      </c>
      <c r="B27" s="172"/>
      <c r="C27" s="173">
        <v>4210</v>
      </c>
      <c r="D27" s="174">
        <v>2.0268946289218122E-3</v>
      </c>
      <c r="E27" s="173">
        <v>5528</v>
      </c>
      <c r="F27" s="174">
        <v>2.492194984502677E-3</v>
      </c>
      <c r="G27" s="175">
        <v>-0.23842257597684513</v>
      </c>
    </row>
    <row r="28" spans="1:7" ht="15" customHeight="1">
      <c r="A28" s="162" t="s">
        <v>7</v>
      </c>
      <c r="B28" s="169"/>
      <c r="C28" s="176">
        <v>7061</v>
      </c>
      <c r="D28" s="177">
        <v>3.3995018942557997E-3</v>
      </c>
      <c r="E28" s="176">
        <v>7749</v>
      </c>
      <c r="F28" s="177">
        <v>3.4934911242603551E-3</v>
      </c>
      <c r="G28" s="178">
        <v>-8.8785649761259466E-2</v>
      </c>
    </row>
    <row r="29" spans="1:7" ht="15" customHeight="1">
      <c r="A29" s="161" t="s">
        <v>21</v>
      </c>
      <c r="B29" s="172"/>
      <c r="C29" s="173">
        <v>18811</v>
      </c>
      <c r="D29" s="174">
        <v>9.0565118443344927E-3</v>
      </c>
      <c r="E29" s="173">
        <v>19257</v>
      </c>
      <c r="F29" s="174">
        <v>8.681656804733727E-3</v>
      </c>
      <c r="G29" s="175">
        <v>-2.3160409201848697E-2</v>
      </c>
    </row>
    <row r="30" spans="1:7" ht="15" customHeight="1">
      <c r="A30" s="162" t="s">
        <v>9</v>
      </c>
      <c r="B30" s="169"/>
      <c r="C30" s="176">
        <v>2378</v>
      </c>
      <c r="D30" s="177">
        <v>1.1448825243648621E-3</v>
      </c>
      <c r="E30" s="176">
        <v>2659</v>
      </c>
      <c r="F30" s="177">
        <v>1.1987602141448296E-3</v>
      </c>
      <c r="G30" s="178">
        <v>-0.10567882662655137</v>
      </c>
    </row>
    <row r="31" spans="1:7" ht="15" customHeight="1">
      <c r="A31" s="161" t="s">
        <v>8</v>
      </c>
      <c r="B31" s="172"/>
      <c r="C31" s="173">
        <v>91633</v>
      </c>
      <c r="D31" s="174">
        <v>4.411649300047326E-2</v>
      </c>
      <c r="E31" s="173">
        <v>87148</v>
      </c>
      <c r="F31" s="174">
        <v>3.9289039165962242E-2</v>
      </c>
      <c r="G31" s="175">
        <v>5.1464175884701868E-2</v>
      </c>
    </row>
    <row r="32" spans="1:7" ht="15" customHeight="1">
      <c r="A32" s="162"/>
      <c r="B32" s="183" t="s">
        <v>53</v>
      </c>
      <c r="C32" s="184">
        <v>56643</v>
      </c>
      <c r="D32" s="185">
        <v>2.7270639540621904E-2</v>
      </c>
      <c r="E32" s="184">
        <v>54582</v>
      </c>
      <c r="F32" s="185">
        <v>2.46072696534235E-2</v>
      </c>
      <c r="G32" s="186">
        <v>3.7759701000329882E-2</v>
      </c>
    </row>
    <row r="33" spans="1:11" ht="15" customHeight="1">
      <c r="A33" s="161" t="s">
        <v>19</v>
      </c>
      <c r="B33" s="172"/>
      <c r="C33" s="173">
        <v>13281</v>
      </c>
      <c r="D33" s="174">
        <v>6.3941063103825635E-3</v>
      </c>
      <c r="E33" s="173">
        <v>22512</v>
      </c>
      <c r="F33" s="174">
        <v>1.0149112426035504E-2</v>
      </c>
      <c r="G33" s="175">
        <v>-0.41004797441364604</v>
      </c>
    </row>
    <row r="34" spans="1:11" ht="15" customHeight="1">
      <c r="A34" s="162" t="s">
        <v>20</v>
      </c>
      <c r="B34" s="169"/>
      <c r="C34" s="176">
        <v>69713</v>
      </c>
      <c r="D34" s="177">
        <v>3.3563160395730714E-2</v>
      </c>
      <c r="E34" s="176">
        <v>72077</v>
      </c>
      <c r="F34" s="177">
        <v>3.2494561848408002E-2</v>
      </c>
      <c r="G34" s="178">
        <v>-3.2798257419148991E-2</v>
      </c>
    </row>
    <row r="35" spans="1:11" ht="15" customHeight="1">
      <c r="A35" s="161" t="s">
        <v>22</v>
      </c>
      <c r="B35" s="172"/>
      <c r="C35" s="173">
        <v>29189</v>
      </c>
      <c r="D35" s="174">
        <v>1.4052975611306124E-2</v>
      </c>
      <c r="E35" s="173">
        <v>31552</v>
      </c>
      <c r="F35" s="174">
        <v>1.4224626655395886E-2</v>
      </c>
      <c r="G35" s="175">
        <v>-7.4892241379310387E-2</v>
      </c>
    </row>
    <row r="36" spans="1:11" ht="15" customHeight="1">
      <c r="A36" s="162" t="s">
        <v>10</v>
      </c>
      <c r="B36" s="169"/>
      <c r="C36" s="176">
        <v>6131</v>
      </c>
      <c r="D36" s="177">
        <v>2.951755574802763E-3</v>
      </c>
      <c r="E36" s="176">
        <v>6314</v>
      </c>
      <c r="F36" s="177">
        <v>2.8465483234714002E-3</v>
      </c>
      <c r="G36" s="178">
        <v>-2.8983211910041162E-2</v>
      </c>
    </row>
    <row r="37" spans="1:11" ht="15" customHeight="1">
      <c r="A37" s="161" t="s">
        <v>11</v>
      </c>
      <c r="B37" s="172"/>
      <c r="C37" s="173">
        <v>14647</v>
      </c>
      <c r="D37" s="174">
        <v>7.0517638075576691E-3</v>
      </c>
      <c r="E37" s="173">
        <v>10826</v>
      </c>
      <c r="F37" s="174">
        <v>4.8806987883910965E-3</v>
      </c>
      <c r="G37" s="175">
        <v>0.35294661001293193</v>
      </c>
    </row>
    <row r="38" spans="1:11" ht="15" customHeight="1">
      <c r="A38" s="162" t="s">
        <v>12</v>
      </c>
      <c r="B38" s="169"/>
      <c r="C38" s="176">
        <v>13354</v>
      </c>
      <c r="D38" s="177">
        <v>6.4292519892213502E-3</v>
      </c>
      <c r="E38" s="176">
        <v>15877</v>
      </c>
      <c r="F38" s="177">
        <v>7.1578472809242042E-3</v>
      </c>
      <c r="G38" s="178">
        <v>-0.15890911381243311</v>
      </c>
    </row>
    <row r="39" spans="1:11" ht="15" customHeight="1">
      <c r="A39" s="161" t="s">
        <v>23</v>
      </c>
      <c r="B39" s="172"/>
      <c r="C39" s="173">
        <v>12309</v>
      </c>
      <c r="D39" s="174">
        <v>5.9261391894058404E-3</v>
      </c>
      <c r="E39" s="173">
        <v>13341</v>
      </c>
      <c r="F39" s="174">
        <v>6.0145393068469994E-3</v>
      </c>
      <c r="G39" s="175">
        <v>-7.7355520575668968E-2</v>
      </c>
    </row>
    <row r="40" spans="1:11" ht="15" customHeight="1">
      <c r="A40" s="162" t="s">
        <v>13</v>
      </c>
      <c r="B40" s="169"/>
      <c r="C40" s="176">
        <v>203082</v>
      </c>
      <c r="D40" s="177">
        <v>9.777335273888349E-2</v>
      </c>
      <c r="E40" s="176">
        <v>217246</v>
      </c>
      <c r="F40" s="177">
        <v>9.794127923358692E-2</v>
      </c>
      <c r="G40" s="178">
        <v>-6.5197978328714878E-2</v>
      </c>
    </row>
    <row r="41" spans="1:11" ht="15" customHeight="1">
      <c r="A41" s="161"/>
      <c r="B41" s="179" t="s">
        <v>50</v>
      </c>
      <c r="C41" s="180">
        <v>82704</v>
      </c>
      <c r="D41" s="181">
        <v>3.9817646886068779E-2</v>
      </c>
      <c r="E41" s="180">
        <v>86033</v>
      </c>
      <c r="F41" s="181">
        <v>3.8786362355593122E-2</v>
      </c>
      <c r="G41" s="182">
        <v>-3.8694454453523597E-2</v>
      </c>
    </row>
    <row r="42" spans="1:11" ht="15" customHeight="1">
      <c r="A42" s="162" t="s">
        <v>14</v>
      </c>
      <c r="B42" s="169"/>
      <c r="C42" s="176">
        <v>9392</v>
      </c>
      <c r="D42" s="177">
        <v>4.5217563788203475E-3</v>
      </c>
      <c r="E42" s="176">
        <v>10045</v>
      </c>
      <c r="F42" s="177">
        <v>4.5285996055226827E-3</v>
      </c>
      <c r="G42" s="178">
        <v>-6.5007466401194591E-2</v>
      </c>
    </row>
    <row r="43" spans="1:11" ht="15" customHeight="1">
      <c r="A43" s="161" t="s">
        <v>24</v>
      </c>
      <c r="B43" s="172"/>
      <c r="C43" s="173">
        <v>13906</v>
      </c>
      <c r="D43" s="174">
        <v>6.6950110949612167E-3</v>
      </c>
      <c r="E43" s="173">
        <v>15081</v>
      </c>
      <c r="F43" s="174">
        <v>6.7989856297548607E-3</v>
      </c>
      <c r="G43" s="175">
        <v>-7.7912605264902846E-2</v>
      </c>
    </row>
    <row r="44" spans="1:11" ht="15" customHeight="1">
      <c r="A44" s="162" t="s">
        <v>15</v>
      </c>
      <c r="B44" s="169"/>
      <c r="C44" s="176">
        <v>35574</v>
      </c>
      <c r="D44" s="177">
        <v>1.7127018890561653E-2</v>
      </c>
      <c r="E44" s="176">
        <v>42509</v>
      </c>
      <c r="F44" s="177">
        <v>1.9164384333615104E-2</v>
      </c>
      <c r="G44" s="178">
        <v>-0.16314192288691809</v>
      </c>
    </row>
    <row r="45" spans="1:11" ht="15" customHeight="1">
      <c r="A45" s="163" t="s">
        <v>25</v>
      </c>
      <c r="B45" s="187"/>
      <c r="C45" s="188">
        <v>3989</v>
      </c>
      <c r="D45" s="189">
        <v>1.9204946970948003E-3</v>
      </c>
      <c r="E45" s="188">
        <v>5059</v>
      </c>
      <c r="F45" s="189">
        <v>2.2807551422936037E-3</v>
      </c>
      <c r="G45" s="190">
        <v>-0.21150424985174932</v>
      </c>
    </row>
    <row r="46" spans="1:1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</row>
    <row r="47" spans="1:11">
      <c r="A47" s="40" t="s">
        <v>66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</row>
    <row r="48" spans="1:11">
      <c r="A48" s="40" t="s">
        <v>67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</row>
    <row r="49" spans="1:14">
      <c r="A49" s="40" t="s">
        <v>74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</row>
    <row r="50" spans="1:14">
      <c r="A50" s="40" t="s">
        <v>68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</row>
    <row r="51" spans="1:14">
      <c r="A51" s="40" t="s">
        <v>69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</row>
    <row r="52" spans="1:14">
      <c r="A52" s="40" t="s">
        <v>70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</row>
    <row r="53" spans="1:14">
      <c r="A53" s="40" t="s">
        <v>71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</row>
    <row r="54" spans="1:14">
      <c r="A54" s="40" t="s">
        <v>72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</row>
    <row r="55" spans="1:14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</row>
    <row r="56" spans="1:14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M56" s="1"/>
      <c r="N56" s="1"/>
    </row>
    <row r="57" spans="1:14">
      <c r="H57" s="2"/>
      <c r="I57" s="2"/>
      <c r="M57" s="8"/>
      <c r="N57" s="8"/>
    </row>
    <row r="58" spans="1:14">
      <c r="H58" s="2"/>
      <c r="I58" s="2"/>
      <c r="M58" s="8"/>
      <c r="N58" s="8"/>
    </row>
    <row r="59" spans="1:14">
      <c r="H59" s="2"/>
      <c r="I59" s="2"/>
      <c r="M59" s="8"/>
      <c r="N59" s="8"/>
    </row>
    <row r="60" spans="1:14">
      <c r="H60" s="2"/>
      <c r="I60" s="2"/>
      <c r="M60" s="8"/>
      <c r="N60" s="8"/>
    </row>
    <row r="61" spans="1:14">
      <c r="H61" s="2"/>
      <c r="I61" s="2"/>
      <c r="M61" s="8"/>
      <c r="N61" s="8"/>
    </row>
  </sheetData>
  <mergeCells count="4">
    <mergeCell ref="A4:B4"/>
    <mergeCell ref="A5:B5"/>
    <mergeCell ref="A2:G2"/>
    <mergeCell ref="A1:G1"/>
  </mergeCells>
  <hyperlinks>
    <hyperlink ref="I1" location="INDICE!Área_de_impresión" display="INDICE"/>
  </hyperlink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:R58"/>
  <sheetViews>
    <sheetView showGridLines="0" zoomScale="90" zoomScaleNormal="90" workbookViewId="0">
      <selection sqref="A1:P1"/>
    </sheetView>
  </sheetViews>
  <sheetFormatPr baseColWidth="10" defaultRowHeight="12.75"/>
  <cols>
    <col min="1" max="1" width="14" style="8" customWidth="1"/>
    <col min="2" max="2" width="18.28515625" style="8" bestFit="1" customWidth="1"/>
    <col min="3" max="3" width="13.7109375" style="14" customWidth="1"/>
    <col min="4" max="4" width="13.7109375" style="22" customWidth="1"/>
    <col min="5" max="7" width="13.7109375" style="14" customWidth="1"/>
    <col min="8" max="8" width="13.7109375" style="22" customWidth="1"/>
    <col min="9" max="16" width="13.7109375" style="14" customWidth="1"/>
    <col min="17" max="17" width="1.7109375" style="15" customWidth="1"/>
    <col min="18" max="18" width="12.85546875" style="2" customWidth="1"/>
    <col min="19" max="19" width="12.85546875" style="8" customWidth="1"/>
    <col min="20" max="16384" width="11.42578125" style="8"/>
  </cols>
  <sheetData>
    <row r="1" spans="1:18" s="30" customFormat="1" ht="30" customHeight="1">
      <c r="A1" s="346" t="s">
        <v>54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8"/>
      <c r="Q1" s="15"/>
      <c r="R1" s="31" t="s">
        <v>134</v>
      </c>
    </row>
    <row r="2" spans="1:18" s="19" customFormat="1" ht="30" customHeight="1">
      <c r="A2" s="328" t="s">
        <v>292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38"/>
      <c r="Q2" s="15"/>
    </row>
    <row r="3" spans="1:18" ht="8.1" customHeight="1">
      <c r="A3" s="44"/>
      <c r="B3" s="44"/>
      <c r="C3" s="45"/>
      <c r="D3" s="46"/>
      <c r="E3" s="45"/>
      <c r="F3" s="45"/>
      <c r="G3" s="45"/>
      <c r="H3" s="46"/>
      <c r="I3" s="45"/>
      <c r="J3" s="45"/>
      <c r="K3" s="45"/>
      <c r="L3" s="45"/>
      <c r="M3" s="45"/>
      <c r="N3" s="45"/>
      <c r="O3" s="45"/>
      <c r="P3" s="45"/>
      <c r="R3" s="40"/>
    </row>
    <row r="4" spans="1:18" s="5" customFormat="1" ht="27.75" customHeight="1">
      <c r="A4" s="330" t="s">
        <v>224</v>
      </c>
      <c r="B4" s="329"/>
      <c r="C4" s="354" t="s">
        <v>0</v>
      </c>
      <c r="D4" s="352"/>
      <c r="E4" s="351" t="s">
        <v>32</v>
      </c>
      <c r="F4" s="352"/>
      <c r="G4" s="351" t="s">
        <v>31</v>
      </c>
      <c r="H4" s="352"/>
      <c r="I4" s="351" t="s">
        <v>34</v>
      </c>
      <c r="J4" s="352"/>
      <c r="K4" s="351" t="s">
        <v>33</v>
      </c>
      <c r="L4" s="352"/>
      <c r="M4" s="351" t="s">
        <v>35</v>
      </c>
      <c r="N4" s="352"/>
      <c r="O4" s="351" t="s">
        <v>57</v>
      </c>
      <c r="P4" s="353"/>
      <c r="Q4" s="15"/>
      <c r="R4" s="15"/>
    </row>
    <row r="5" spans="1:18" s="5" customFormat="1" ht="18.75" customHeight="1">
      <c r="A5" s="332"/>
      <c r="B5" s="321"/>
      <c r="C5" s="193" t="s">
        <v>107</v>
      </c>
      <c r="D5" s="195" t="s">
        <v>145</v>
      </c>
      <c r="E5" s="194" t="s">
        <v>107</v>
      </c>
      <c r="F5" s="195" t="s">
        <v>145</v>
      </c>
      <c r="G5" s="194" t="s">
        <v>107</v>
      </c>
      <c r="H5" s="195" t="s">
        <v>145</v>
      </c>
      <c r="I5" s="194" t="s">
        <v>107</v>
      </c>
      <c r="J5" s="195" t="s">
        <v>145</v>
      </c>
      <c r="K5" s="194" t="s">
        <v>107</v>
      </c>
      <c r="L5" s="195" t="s">
        <v>145</v>
      </c>
      <c r="M5" s="194" t="s">
        <v>107</v>
      </c>
      <c r="N5" s="195" t="s">
        <v>145</v>
      </c>
      <c r="O5" s="194" t="s">
        <v>107</v>
      </c>
      <c r="P5" s="196" t="s">
        <v>145</v>
      </c>
      <c r="Q5" s="15"/>
    </row>
    <row r="6" spans="1:18" s="5" customFormat="1" ht="15" customHeight="1">
      <c r="A6" s="349" t="s">
        <v>0</v>
      </c>
      <c r="B6" s="350"/>
      <c r="C6" s="192">
        <v>2077069</v>
      </c>
      <c r="D6" s="191">
        <v>1</v>
      </c>
      <c r="E6" s="192">
        <v>108775</v>
      </c>
      <c r="F6" s="191">
        <v>1</v>
      </c>
      <c r="G6" s="192">
        <v>367675</v>
      </c>
      <c r="H6" s="191">
        <v>1</v>
      </c>
      <c r="I6" s="192">
        <v>7663</v>
      </c>
      <c r="J6" s="191">
        <v>1</v>
      </c>
      <c r="K6" s="192">
        <v>4576</v>
      </c>
      <c r="L6" s="191">
        <v>1</v>
      </c>
      <c r="M6" s="192">
        <v>44923</v>
      </c>
      <c r="N6" s="191">
        <v>1</v>
      </c>
      <c r="O6" s="192">
        <v>1543457</v>
      </c>
      <c r="P6" s="197">
        <v>1</v>
      </c>
      <c r="Q6" s="15"/>
    </row>
    <row r="7" spans="1:18" ht="15" customHeight="1">
      <c r="A7" s="160" t="s">
        <v>141</v>
      </c>
      <c r="B7" s="169"/>
      <c r="C7" s="170">
        <v>257259</v>
      </c>
      <c r="D7" s="169">
        <v>0.12385674236147186</v>
      </c>
      <c r="E7" s="170">
        <v>13224</v>
      </c>
      <c r="F7" s="169">
        <v>0.12157205240174672</v>
      </c>
      <c r="G7" s="170">
        <v>41708</v>
      </c>
      <c r="H7" s="169">
        <v>0.11343713877745291</v>
      </c>
      <c r="I7" s="170">
        <v>810</v>
      </c>
      <c r="J7" s="169">
        <v>0.10570272739136109</v>
      </c>
      <c r="K7" s="170">
        <v>583</v>
      </c>
      <c r="L7" s="169">
        <v>0.12740384615384615</v>
      </c>
      <c r="M7" s="170">
        <v>5388</v>
      </c>
      <c r="N7" s="169">
        <v>0.11993856153863278</v>
      </c>
      <c r="O7" s="170">
        <v>195546</v>
      </c>
      <c r="P7" s="171">
        <v>0.12669351980651228</v>
      </c>
      <c r="R7" s="8"/>
    </row>
    <row r="8" spans="1:18" ht="15" customHeight="1">
      <c r="A8" s="161" t="s">
        <v>104</v>
      </c>
      <c r="B8" s="172"/>
      <c r="C8" s="173">
        <v>914794</v>
      </c>
      <c r="D8" s="174">
        <v>0.44042542640615212</v>
      </c>
      <c r="E8" s="173">
        <v>76627</v>
      </c>
      <c r="F8" s="174">
        <v>0.70445414847161569</v>
      </c>
      <c r="G8" s="173">
        <v>191209</v>
      </c>
      <c r="H8" s="174">
        <v>0.52004895627932279</v>
      </c>
      <c r="I8" s="173">
        <v>3031</v>
      </c>
      <c r="J8" s="174">
        <v>0.39553699595458697</v>
      </c>
      <c r="K8" s="173">
        <v>1914</v>
      </c>
      <c r="L8" s="174">
        <v>0.41826923076923078</v>
      </c>
      <c r="M8" s="173">
        <v>19243</v>
      </c>
      <c r="N8" s="174">
        <v>0.42835518553970126</v>
      </c>
      <c r="O8" s="173">
        <v>622770</v>
      </c>
      <c r="P8" s="175">
        <v>0.40349034666984568</v>
      </c>
      <c r="R8" s="8"/>
    </row>
    <row r="9" spans="1:18" ht="15" customHeight="1">
      <c r="A9" s="162" t="s">
        <v>2</v>
      </c>
      <c r="B9" s="169"/>
      <c r="C9" s="176">
        <v>963034</v>
      </c>
      <c r="D9" s="177">
        <v>0.46365046129907095</v>
      </c>
      <c r="E9" s="176">
        <v>71861</v>
      </c>
      <c r="F9" s="177">
        <v>0.66063893357848769</v>
      </c>
      <c r="G9" s="176">
        <v>191581</v>
      </c>
      <c r="H9" s="177">
        <v>0.52106071938532672</v>
      </c>
      <c r="I9" s="176">
        <v>4318</v>
      </c>
      <c r="J9" s="177">
        <v>0.56348688503197186</v>
      </c>
      <c r="K9" s="176">
        <v>2165</v>
      </c>
      <c r="L9" s="177">
        <v>0.47312062937062938</v>
      </c>
      <c r="M9" s="176">
        <v>20561</v>
      </c>
      <c r="N9" s="177">
        <v>0.4576942768737618</v>
      </c>
      <c r="O9" s="176">
        <v>672548</v>
      </c>
      <c r="P9" s="178">
        <v>0.43574132612699934</v>
      </c>
      <c r="R9" s="8"/>
    </row>
    <row r="10" spans="1:18" ht="15" customHeight="1">
      <c r="A10" s="161"/>
      <c r="B10" s="179" t="s">
        <v>93</v>
      </c>
      <c r="C10" s="180">
        <v>68406</v>
      </c>
      <c r="D10" s="181">
        <v>3.2933908310219834E-2</v>
      </c>
      <c r="E10" s="180">
        <v>3735</v>
      </c>
      <c r="F10" s="181">
        <v>3.4336934038152148E-2</v>
      </c>
      <c r="G10" s="180">
        <v>10949</v>
      </c>
      <c r="H10" s="181">
        <v>2.9779016794723601E-2</v>
      </c>
      <c r="I10" s="180">
        <v>345</v>
      </c>
      <c r="J10" s="181">
        <v>4.5021532037061204E-2</v>
      </c>
      <c r="K10" s="180">
        <v>110</v>
      </c>
      <c r="L10" s="181">
        <v>2.403846153846154E-2</v>
      </c>
      <c r="M10" s="180">
        <v>1573</v>
      </c>
      <c r="N10" s="181">
        <v>3.5015470916902255E-2</v>
      </c>
      <c r="O10" s="180">
        <v>51694</v>
      </c>
      <c r="P10" s="182">
        <v>3.3492348669253498E-2</v>
      </c>
      <c r="R10" s="8"/>
    </row>
    <row r="11" spans="1:18" ht="15" customHeight="1">
      <c r="A11" s="162"/>
      <c r="B11" s="183" t="s">
        <v>94</v>
      </c>
      <c r="C11" s="184">
        <v>98702</v>
      </c>
      <c r="D11" s="185">
        <v>4.7519846475971669E-2</v>
      </c>
      <c r="E11" s="184">
        <v>3029</v>
      </c>
      <c r="F11" s="185">
        <v>2.784647207538497E-2</v>
      </c>
      <c r="G11" s="184">
        <v>12124</v>
      </c>
      <c r="H11" s="185">
        <v>3.2974773917182294E-2</v>
      </c>
      <c r="I11" s="184">
        <v>252</v>
      </c>
      <c r="J11" s="185">
        <v>3.2885292966201227E-2</v>
      </c>
      <c r="K11" s="184">
        <v>184</v>
      </c>
      <c r="L11" s="185">
        <v>4.0209790209790208E-2</v>
      </c>
      <c r="M11" s="184">
        <v>2185</v>
      </c>
      <c r="N11" s="185">
        <v>4.8638781915722455E-2</v>
      </c>
      <c r="O11" s="184">
        <v>80928</v>
      </c>
      <c r="P11" s="186">
        <v>5.2432947597503526E-2</v>
      </c>
      <c r="R11" s="8"/>
    </row>
    <row r="12" spans="1:18" ht="15" customHeight="1">
      <c r="A12" s="161"/>
      <c r="B12" s="179" t="s">
        <v>95</v>
      </c>
      <c r="C12" s="180">
        <v>67433</v>
      </c>
      <c r="D12" s="181">
        <v>3.2465459741587786E-2</v>
      </c>
      <c r="E12" s="180">
        <v>7144</v>
      </c>
      <c r="F12" s="181">
        <v>6.5676855895196506E-2</v>
      </c>
      <c r="G12" s="180">
        <v>12496</v>
      </c>
      <c r="H12" s="181">
        <v>3.3986537023186235E-2</v>
      </c>
      <c r="I12" s="180">
        <v>312</v>
      </c>
      <c r="J12" s="181">
        <v>4.0715124624820569E-2</v>
      </c>
      <c r="K12" s="180">
        <v>140</v>
      </c>
      <c r="L12" s="181">
        <v>3.0594405594405596E-2</v>
      </c>
      <c r="M12" s="180">
        <v>1332</v>
      </c>
      <c r="N12" s="181">
        <v>2.965073570331456E-2</v>
      </c>
      <c r="O12" s="180">
        <v>46009</v>
      </c>
      <c r="P12" s="182">
        <v>2.9809058496608587E-2</v>
      </c>
      <c r="R12" s="8"/>
    </row>
    <row r="13" spans="1:18" ht="15" customHeight="1">
      <c r="A13" s="162"/>
      <c r="B13" s="183" t="s">
        <v>96</v>
      </c>
      <c r="C13" s="184">
        <v>85167</v>
      </c>
      <c r="D13" s="185">
        <v>4.100345246113634E-2</v>
      </c>
      <c r="E13" s="184">
        <v>11171</v>
      </c>
      <c r="F13" s="185">
        <v>0.10269823029188692</v>
      </c>
      <c r="G13" s="184">
        <v>21824</v>
      </c>
      <c r="H13" s="185">
        <v>5.9356768885564695E-2</v>
      </c>
      <c r="I13" s="184">
        <v>263</v>
      </c>
      <c r="J13" s="185">
        <v>3.4320762103614774E-2</v>
      </c>
      <c r="K13" s="184">
        <v>186</v>
      </c>
      <c r="L13" s="185">
        <v>4.0646853146853144E-2</v>
      </c>
      <c r="M13" s="184">
        <v>1808</v>
      </c>
      <c r="N13" s="185">
        <v>4.0246644257952498E-2</v>
      </c>
      <c r="O13" s="184">
        <v>49915</v>
      </c>
      <c r="P13" s="186">
        <v>3.2339741243196281E-2</v>
      </c>
      <c r="R13" s="8"/>
    </row>
    <row r="14" spans="1:18" ht="15" customHeight="1">
      <c r="A14" s="161"/>
      <c r="B14" s="179" t="s">
        <v>97</v>
      </c>
      <c r="C14" s="180">
        <v>47248</v>
      </c>
      <c r="D14" s="181">
        <v>2.2747438818835581E-2</v>
      </c>
      <c r="E14" s="180">
        <v>5256</v>
      </c>
      <c r="F14" s="181">
        <v>4.8319926453688808E-2</v>
      </c>
      <c r="G14" s="180">
        <v>12355</v>
      </c>
      <c r="H14" s="181">
        <v>3.3603046168491198E-2</v>
      </c>
      <c r="I14" s="180">
        <v>107</v>
      </c>
      <c r="J14" s="181">
        <v>1.396319979120449E-2</v>
      </c>
      <c r="K14" s="180">
        <v>100</v>
      </c>
      <c r="L14" s="181">
        <v>2.1853146853146852E-2</v>
      </c>
      <c r="M14" s="180">
        <v>898</v>
      </c>
      <c r="N14" s="181">
        <v>1.9989760256438796E-2</v>
      </c>
      <c r="O14" s="180">
        <v>28532</v>
      </c>
      <c r="P14" s="182">
        <v>1.8485775761812605E-2</v>
      </c>
      <c r="R14" s="8"/>
    </row>
    <row r="15" spans="1:18" ht="15" customHeight="1">
      <c r="A15" s="162"/>
      <c r="B15" s="183" t="s">
        <v>98</v>
      </c>
      <c r="C15" s="184">
        <v>34741</v>
      </c>
      <c r="D15" s="185">
        <v>1.6725972993675221E-2</v>
      </c>
      <c r="E15" s="184">
        <v>3091</v>
      </c>
      <c r="F15" s="185">
        <v>2.8416455987129396E-2</v>
      </c>
      <c r="G15" s="184">
        <v>7642</v>
      </c>
      <c r="H15" s="185">
        <v>2.07846603658122E-2</v>
      </c>
      <c r="I15" s="184">
        <v>175</v>
      </c>
      <c r="J15" s="185">
        <v>2.2837009004306408E-2</v>
      </c>
      <c r="K15" s="184">
        <v>84</v>
      </c>
      <c r="L15" s="185">
        <v>1.8356643356643356E-2</v>
      </c>
      <c r="M15" s="184">
        <v>709</v>
      </c>
      <c r="N15" s="185">
        <v>1.5782561271509028E-2</v>
      </c>
      <c r="O15" s="184">
        <v>23040</v>
      </c>
      <c r="P15" s="186">
        <v>1.4927529565125559E-2</v>
      </c>
      <c r="R15" s="8"/>
    </row>
    <row r="16" spans="1:18" ht="15" customHeight="1">
      <c r="A16" s="161"/>
      <c r="B16" s="179" t="s">
        <v>99</v>
      </c>
      <c r="C16" s="180">
        <v>117348</v>
      </c>
      <c r="D16" s="181">
        <v>5.64969194571774E-2</v>
      </c>
      <c r="E16" s="180">
        <v>10073</v>
      </c>
      <c r="F16" s="181">
        <v>9.2603999080671115E-2</v>
      </c>
      <c r="G16" s="180">
        <v>29943</v>
      </c>
      <c r="H16" s="181">
        <v>8.1438770653430345E-2</v>
      </c>
      <c r="I16" s="180">
        <v>383</v>
      </c>
      <c r="J16" s="181">
        <v>4.9980425420853451E-2</v>
      </c>
      <c r="K16" s="180">
        <v>252</v>
      </c>
      <c r="L16" s="181">
        <v>5.5069930069930072E-2</v>
      </c>
      <c r="M16" s="180">
        <v>2484</v>
      </c>
      <c r="N16" s="181">
        <v>5.529461523050553E-2</v>
      </c>
      <c r="O16" s="180">
        <v>74213</v>
      </c>
      <c r="P16" s="182">
        <v>4.808232428891767E-2</v>
      </c>
      <c r="R16" s="8"/>
    </row>
    <row r="17" spans="1:18" ht="15" customHeight="1">
      <c r="A17" s="162"/>
      <c r="B17" s="183" t="s">
        <v>100</v>
      </c>
      <c r="C17" s="184">
        <v>138506</v>
      </c>
      <c r="D17" s="185">
        <v>6.6683388948561656E-2</v>
      </c>
      <c r="E17" s="184">
        <v>19904</v>
      </c>
      <c r="F17" s="185">
        <v>0.18298322224775915</v>
      </c>
      <c r="G17" s="184">
        <v>42168</v>
      </c>
      <c r="H17" s="185">
        <v>0.1146882436934793</v>
      </c>
      <c r="I17" s="184">
        <v>384</v>
      </c>
      <c r="J17" s="185">
        <v>5.0110922615163776E-2</v>
      </c>
      <c r="K17" s="184">
        <v>277</v>
      </c>
      <c r="L17" s="185">
        <v>6.0533216783216784E-2</v>
      </c>
      <c r="M17" s="184">
        <v>2867</v>
      </c>
      <c r="N17" s="185">
        <v>6.3820314760812943E-2</v>
      </c>
      <c r="O17" s="184">
        <v>72906</v>
      </c>
      <c r="P17" s="186">
        <v>4.7235523892146004E-2</v>
      </c>
      <c r="R17" s="8"/>
    </row>
    <row r="18" spans="1:18" ht="15" customHeight="1">
      <c r="A18" s="161"/>
      <c r="B18" s="179" t="s">
        <v>101</v>
      </c>
      <c r="C18" s="180">
        <v>21141</v>
      </c>
      <c r="D18" s="181">
        <v>1.0178284881243714E-2</v>
      </c>
      <c r="E18" s="180">
        <v>248</v>
      </c>
      <c r="F18" s="181">
        <v>2.2799356469777061E-3</v>
      </c>
      <c r="G18" s="180">
        <v>965</v>
      </c>
      <c r="H18" s="181">
        <v>2.6246005303596927E-3</v>
      </c>
      <c r="I18" s="180">
        <v>101</v>
      </c>
      <c r="J18" s="181">
        <v>1.3180216625342555E-2</v>
      </c>
      <c r="K18" s="180">
        <v>63</v>
      </c>
      <c r="L18" s="181">
        <v>1.3767482517482518E-2</v>
      </c>
      <c r="M18" s="180">
        <v>464</v>
      </c>
      <c r="N18" s="181">
        <v>1.032878480956303E-2</v>
      </c>
      <c r="O18" s="180">
        <v>19300</v>
      </c>
      <c r="P18" s="182">
        <v>1.2504397595786601E-2</v>
      </c>
      <c r="R18" s="8"/>
    </row>
    <row r="19" spans="1:18" ht="15" customHeight="1">
      <c r="A19" s="162"/>
      <c r="B19" s="183" t="s">
        <v>102</v>
      </c>
      <c r="C19" s="184">
        <v>68512</v>
      </c>
      <c r="D19" s="185">
        <v>3.2984941761684372E-2</v>
      </c>
      <c r="E19" s="184">
        <v>3980</v>
      </c>
      <c r="F19" s="185">
        <v>3.6589289818432541E-2</v>
      </c>
      <c r="G19" s="184">
        <v>15780</v>
      </c>
      <c r="H19" s="185">
        <v>4.2918338206296321E-2</v>
      </c>
      <c r="I19" s="184">
        <v>204</v>
      </c>
      <c r="J19" s="185">
        <v>2.6621427639305754E-2</v>
      </c>
      <c r="K19" s="184">
        <v>117</v>
      </c>
      <c r="L19" s="185">
        <v>2.556818181818182E-2</v>
      </c>
      <c r="M19" s="184">
        <v>1381</v>
      </c>
      <c r="N19" s="185">
        <v>3.0741490995703759E-2</v>
      </c>
      <c r="O19" s="184">
        <v>47050</v>
      </c>
      <c r="P19" s="186">
        <v>3.048351849128288E-2</v>
      </c>
      <c r="R19" s="8"/>
    </row>
    <row r="20" spans="1:18" ht="15" customHeight="1">
      <c r="A20" s="161"/>
      <c r="B20" s="179" t="s">
        <v>65</v>
      </c>
      <c r="C20" s="180">
        <v>215830</v>
      </c>
      <c r="D20" s="181">
        <v>0.10391084744897738</v>
      </c>
      <c r="E20" s="180">
        <v>4230</v>
      </c>
      <c r="F20" s="181">
        <v>3.888761204320846E-2</v>
      </c>
      <c r="G20" s="180">
        <v>25335</v>
      </c>
      <c r="H20" s="181">
        <v>6.890596314680085E-2</v>
      </c>
      <c r="I20" s="180">
        <v>1792</v>
      </c>
      <c r="J20" s="181">
        <v>0.23385097220409762</v>
      </c>
      <c r="K20" s="180">
        <v>652</v>
      </c>
      <c r="L20" s="181">
        <v>0.14248251748251747</v>
      </c>
      <c r="M20" s="180">
        <v>4860</v>
      </c>
      <c r="N20" s="181">
        <v>0.10818511675533692</v>
      </c>
      <c r="O20" s="180">
        <v>178961</v>
      </c>
      <c r="P20" s="182">
        <v>0.11594816052536611</v>
      </c>
      <c r="R20" s="8"/>
    </row>
    <row r="21" spans="1:18" ht="15" customHeight="1">
      <c r="A21" s="162" t="s">
        <v>3</v>
      </c>
      <c r="B21" s="169"/>
      <c r="C21" s="176">
        <v>4210</v>
      </c>
      <c r="D21" s="177">
        <v>2.0268946289218122E-3</v>
      </c>
      <c r="E21" s="176">
        <v>49</v>
      </c>
      <c r="F21" s="177">
        <v>4.5047115605607906E-4</v>
      </c>
      <c r="G21" s="176">
        <v>1230</v>
      </c>
      <c r="H21" s="177">
        <v>3.3453457537227171E-3</v>
      </c>
      <c r="I21" s="176">
        <v>9</v>
      </c>
      <c r="J21" s="177">
        <v>1.174474748792901E-3</v>
      </c>
      <c r="K21" s="176">
        <v>2</v>
      </c>
      <c r="L21" s="177">
        <v>4.3706293706293706E-4</v>
      </c>
      <c r="M21" s="176">
        <v>143</v>
      </c>
      <c r="N21" s="177">
        <v>3.183224628809296E-3</v>
      </c>
      <c r="O21" s="176">
        <v>2777</v>
      </c>
      <c r="P21" s="178">
        <v>1.7992078820466006E-3</v>
      </c>
      <c r="R21" s="8"/>
    </row>
    <row r="22" spans="1:18" ht="15" customHeight="1">
      <c r="A22" s="161" t="s">
        <v>16</v>
      </c>
      <c r="B22" s="172"/>
      <c r="C22" s="173">
        <v>17261</v>
      </c>
      <c r="D22" s="174">
        <v>8.3102679785794307E-3</v>
      </c>
      <c r="E22" s="173">
        <v>416</v>
      </c>
      <c r="F22" s="174">
        <v>3.82440818202712E-3</v>
      </c>
      <c r="G22" s="173">
        <v>3274</v>
      </c>
      <c r="H22" s="174">
        <v>8.9046032501529891E-3</v>
      </c>
      <c r="I22" s="173">
        <v>33</v>
      </c>
      <c r="J22" s="174">
        <v>4.3064074122406365E-3</v>
      </c>
      <c r="K22" s="173">
        <v>24</v>
      </c>
      <c r="L22" s="174">
        <v>5.244755244755245E-3</v>
      </c>
      <c r="M22" s="173">
        <v>457</v>
      </c>
      <c r="N22" s="174">
        <v>1.0172962624936001E-2</v>
      </c>
      <c r="O22" s="173">
        <v>13057</v>
      </c>
      <c r="P22" s="175">
        <v>8.4595813164863032E-3</v>
      </c>
      <c r="R22" s="8"/>
    </row>
    <row r="23" spans="1:18" ht="15" customHeight="1">
      <c r="A23" s="162" t="s">
        <v>17</v>
      </c>
      <c r="B23" s="169"/>
      <c r="C23" s="176">
        <v>40685</v>
      </c>
      <c r="D23" s="177">
        <v>1.9587697856932051E-2</v>
      </c>
      <c r="E23" s="176">
        <v>261</v>
      </c>
      <c r="F23" s="177">
        <v>2.3994484026660539E-3</v>
      </c>
      <c r="G23" s="176">
        <v>6333</v>
      </c>
      <c r="H23" s="177">
        <v>1.722445094172843E-2</v>
      </c>
      <c r="I23" s="176">
        <v>112</v>
      </c>
      <c r="J23" s="177">
        <v>1.4615685762756101E-2</v>
      </c>
      <c r="K23" s="176">
        <v>72</v>
      </c>
      <c r="L23" s="177">
        <v>1.5734265734265736E-2</v>
      </c>
      <c r="M23" s="176">
        <v>902</v>
      </c>
      <c r="N23" s="177">
        <v>2.0078801504797097E-2</v>
      </c>
      <c r="O23" s="176">
        <v>33005</v>
      </c>
      <c r="P23" s="178">
        <v>2.1383815681292061E-2</v>
      </c>
      <c r="R23" s="8"/>
    </row>
    <row r="24" spans="1:18" ht="15" customHeight="1">
      <c r="A24" s="161" t="s">
        <v>4</v>
      </c>
      <c r="B24" s="172"/>
      <c r="C24" s="173">
        <v>185149</v>
      </c>
      <c r="D24" s="174">
        <v>8.9139551935925099E-2</v>
      </c>
      <c r="E24" s="173">
        <v>8123</v>
      </c>
      <c r="F24" s="174">
        <v>7.467708572741899E-2</v>
      </c>
      <c r="G24" s="173">
        <v>34687</v>
      </c>
      <c r="H24" s="174">
        <v>9.4341470048276324E-2</v>
      </c>
      <c r="I24" s="173">
        <v>531</v>
      </c>
      <c r="J24" s="174">
        <v>6.929401017878116E-2</v>
      </c>
      <c r="K24" s="173">
        <v>422</v>
      </c>
      <c r="L24" s="174">
        <v>9.2220279720279727E-2</v>
      </c>
      <c r="M24" s="173">
        <v>4179</v>
      </c>
      <c r="N24" s="174">
        <v>9.3025844222335993E-2</v>
      </c>
      <c r="O24" s="173">
        <v>137207</v>
      </c>
      <c r="P24" s="175">
        <v>8.8895900566066957E-2</v>
      </c>
      <c r="R24" s="8"/>
    </row>
    <row r="25" spans="1:18" ht="15" customHeight="1">
      <c r="A25" s="162"/>
      <c r="B25" s="183" t="s">
        <v>51</v>
      </c>
      <c r="C25" s="184">
        <v>93030</v>
      </c>
      <c r="D25" s="185">
        <v>4.4789075374963468E-2</v>
      </c>
      <c r="E25" s="184">
        <v>5680</v>
      </c>
      <c r="F25" s="185">
        <v>5.2217880946908754E-2</v>
      </c>
      <c r="G25" s="184">
        <v>22057</v>
      </c>
      <c r="H25" s="185">
        <v>5.9990480723465016E-2</v>
      </c>
      <c r="I25" s="184">
        <v>187</v>
      </c>
      <c r="J25" s="185">
        <v>2.4402975336030277E-2</v>
      </c>
      <c r="K25" s="184">
        <v>145</v>
      </c>
      <c r="L25" s="185">
        <v>3.1687062937062936E-2</v>
      </c>
      <c r="M25" s="184">
        <v>1897</v>
      </c>
      <c r="N25" s="185">
        <v>4.2227812033924714E-2</v>
      </c>
      <c r="O25" s="184">
        <v>63064</v>
      </c>
      <c r="P25" s="186">
        <v>4.0858929014543327E-2</v>
      </c>
      <c r="R25" s="8"/>
    </row>
    <row r="26" spans="1:18" ht="15" customHeight="1">
      <c r="A26" s="161" t="s">
        <v>5</v>
      </c>
      <c r="B26" s="172"/>
      <c r="C26" s="173">
        <v>14894</v>
      </c>
      <c r="D26" s="174">
        <v>7.170681378423153E-3</v>
      </c>
      <c r="E26" s="173">
        <v>134</v>
      </c>
      <c r="F26" s="174">
        <v>1.2319007124798897E-3</v>
      </c>
      <c r="G26" s="173">
        <v>1922</v>
      </c>
      <c r="H26" s="174">
        <v>5.2274427143537095E-3</v>
      </c>
      <c r="I26" s="173">
        <v>52</v>
      </c>
      <c r="J26" s="174">
        <v>6.7858541041367609E-3</v>
      </c>
      <c r="K26" s="173">
        <v>27</v>
      </c>
      <c r="L26" s="174">
        <v>5.90034965034965E-3</v>
      </c>
      <c r="M26" s="173">
        <v>650</v>
      </c>
      <c r="N26" s="174">
        <v>1.4469202858224072E-2</v>
      </c>
      <c r="O26" s="173">
        <v>12109</v>
      </c>
      <c r="P26" s="175">
        <v>7.8453756729212412E-3</v>
      </c>
      <c r="R26" s="8"/>
    </row>
    <row r="27" spans="1:18" ht="15" customHeight="1">
      <c r="A27" s="162" t="s">
        <v>6</v>
      </c>
      <c r="B27" s="169"/>
      <c r="C27" s="176">
        <v>45917</v>
      </c>
      <c r="D27" s="177">
        <v>2.2106631989596878E-2</v>
      </c>
      <c r="E27" s="176">
        <v>325</v>
      </c>
      <c r="F27" s="177">
        <v>2.9878188922086877E-3</v>
      </c>
      <c r="G27" s="176">
        <v>2189</v>
      </c>
      <c r="H27" s="177">
        <v>5.9536275243081528E-3</v>
      </c>
      <c r="I27" s="176">
        <v>223</v>
      </c>
      <c r="J27" s="177">
        <v>2.9100874331201881E-2</v>
      </c>
      <c r="K27" s="176">
        <v>128</v>
      </c>
      <c r="L27" s="177">
        <v>2.7972027972027972E-2</v>
      </c>
      <c r="M27" s="176">
        <v>1052</v>
      </c>
      <c r="N27" s="177">
        <v>2.341784831823342E-2</v>
      </c>
      <c r="O27" s="176">
        <v>42000</v>
      </c>
      <c r="P27" s="178">
        <v>2.7211642436426799E-2</v>
      </c>
      <c r="R27" s="8"/>
    </row>
    <row r="28" spans="1:18" ht="15" customHeight="1">
      <c r="A28" s="161" t="s">
        <v>18</v>
      </c>
      <c r="B28" s="172"/>
      <c r="C28" s="173">
        <v>4210</v>
      </c>
      <c r="D28" s="174">
        <v>2.0268946289218122E-3</v>
      </c>
      <c r="E28" s="173">
        <v>46</v>
      </c>
      <c r="F28" s="174">
        <v>4.2289128935876812E-4</v>
      </c>
      <c r="G28" s="173">
        <v>377</v>
      </c>
      <c r="H28" s="174">
        <v>1.0253620724824913E-3</v>
      </c>
      <c r="I28" s="173">
        <v>26</v>
      </c>
      <c r="J28" s="174">
        <v>3.3929270520683804E-3</v>
      </c>
      <c r="K28" s="173">
        <v>10</v>
      </c>
      <c r="L28" s="174">
        <v>2.1853146853146855E-3</v>
      </c>
      <c r="M28" s="173">
        <v>156</v>
      </c>
      <c r="N28" s="174">
        <v>3.4726086859737772E-3</v>
      </c>
      <c r="O28" s="173">
        <v>3595</v>
      </c>
      <c r="P28" s="175">
        <v>2.3291870133084367E-3</v>
      </c>
      <c r="R28" s="8"/>
    </row>
    <row r="29" spans="1:18" ht="15" customHeight="1">
      <c r="A29" s="162" t="s">
        <v>7</v>
      </c>
      <c r="B29" s="169"/>
      <c r="C29" s="176">
        <v>7061</v>
      </c>
      <c r="D29" s="177">
        <v>3.3995018942557997E-3</v>
      </c>
      <c r="E29" s="176">
        <v>44</v>
      </c>
      <c r="F29" s="177">
        <v>4.0450471156056077E-4</v>
      </c>
      <c r="G29" s="176">
        <v>1744</v>
      </c>
      <c r="H29" s="177">
        <v>4.7433195077174134E-3</v>
      </c>
      <c r="I29" s="176">
        <v>8</v>
      </c>
      <c r="J29" s="177">
        <v>1.0439775544825785E-3</v>
      </c>
      <c r="K29" s="176">
        <v>11</v>
      </c>
      <c r="L29" s="177">
        <v>2.403846153846154E-3</v>
      </c>
      <c r="M29" s="176">
        <v>204</v>
      </c>
      <c r="N29" s="177">
        <v>4.5411036662734014E-3</v>
      </c>
      <c r="O29" s="176">
        <v>5050</v>
      </c>
      <c r="P29" s="178">
        <v>3.2718760548560797E-3</v>
      </c>
      <c r="R29" s="8"/>
    </row>
    <row r="30" spans="1:18" ht="15" customHeight="1">
      <c r="A30" s="161" t="s">
        <v>21</v>
      </c>
      <c r="B30" s="172"/>
      <c r="C30" s="173">
        <v>18811</v>
      </c>
      <c r="D30" s="174">
        <v>9.0565118443344927E-3</v>
      </c>
      <c r="E30" s="173">
        <v>80</v>
      </c>
      <c r="F30" s="174">
        <v>7.3546311192829237E-4</v>
      </c>
      <c r="G30" s="173">
        <v>1086</v>
      </c>
      <c r="H30" s="174">
        <v>2.9536955191405453E-3</v>
      </c>
      <c r="I30" s="173">
        <v>84</v>
      </c>
      <c r="J30" s="174">
        <v>1.0961764322067075E-2</v>
      </c>
      <c r="K30" s="173">
        <v>50</v>
      </c>
      <c r="L30" s="174">
        <v>1.0926573426573426E-2</v>
      </c>
      <c r="M30" s="173">
        <v>418</v>
      </c>
      <c r="N30" s="174">
        <v>9.304810453442558E-3</v>
      </c>
      <c r="O30" s="173">
        <v>17093</v>
      </c>
      <c r="P30" s="175">
        <v>1.1074490575377221E-2</v>
      </c>
      <c r="R30" s="8"/>
    </row>
    <row r="31" spans="1:18" ht="15" customHeight="1">
      <c r="A31" s="162" t="s">
        <v>9</v>
      </c>
      <c r="B31" s="169"/>
      <c r="C31" s="176">
        <v>2378</v>
      </c>
      <c r="D31" s="177">
        <v>1.1448825243648621E-3</v>
      </c>
      <c r="E31" s="176">
        <v>24</v>
      </c>
      <c r="F31" s="177">
        <v>2.2063893357848771E-4</v>
      </c>
      <c r="G31" s="176">
        <v>404</v>
      </c>
      <c r="H31" s="177">
        <v>1.0987964914666486E-3</v>
      </c>
      <c r="I31" s="176">
        <v>8</v>
      </c>
      <c r="J31" s="177">
        <v>1.0439775544825785E-3</v>
      </c>
      <c r="K31" s="176">
        <v>6</v>
      </c>
      <c r="L31" s="177">
        <v>1.3111888111888112E-3</v>
      </c>
      <c r="M31" s="176">
        <v>90</v>
      </c>
      <c r="N31" s="177">
        <v>2.0034280880617946E-3</v>
      </c>
      <c r="O31" s="176">
        <v>1846</v>
      </c>
      <c r="P31" s="178">
        <v>1.1960164747058066E-3</v>
      </c>
      <c r="R31" s="8"/>
    </row>
    <row r="32" spans="1:18" ht="15" customHeight="1">
      <c r="A32" s="161" t="s">
        <v>8</v>
      </c>
      <c r="B32" s="172"/>
      <c r="C32" s="173">
        <v>91633</v>
      </c>
      <c r="D32" s="174">
        <v>4.411649300047326E-2</v>
      </c>
      <c r="E32" s="173">
        <v>4766</v>
      </c>
      <c r="F32" s="174">
        <v>4.3815214893128014E-2</v>
      </c>
      <c r="G32" s="173">
        <v>21023</v>
      </c>
      <c r="H32" s="174">
        <v>5.7178214455701364E-2</v>
      </c>
      <c r="I32" s="173">
        <v>183</v>
      </c>
      <c r="J32" s="174">
        <v>2.3880986558788987E-2</v>
      </c>
      <c r="K32" s="173">
        <v>169</v>
      </c>
      <c r="L32" s="174">
        <v>3.6931818181818184E-2</v>
      </c>
      <c r="M32" s="173">
        <v>1999</v>
      </c>
      <c r="N32" s="174">
        <v>4.4498363867061415E-2</v>
      </c>
      <c r="O32" s="173">
        <v>63493</v>
      </c>
      <c r="P32" s="175">
        <v>4.1136876505143971E-2</v>
      </c>
      <c r="R32" s="8"/>
    </row>
    <row r="33" spans="1:18" ht="15" customHeight="1">
      <c r="A33" s="162"/>
      <c r="B33" s="183" t="s">
        <v>53</v>
      </c>
      <c r="C33" s="184">
        <v>56643</v>
      </c>
      <c r="D33" s="185">
        <v>2.7270639540621904E-2</v>
      </c>
      <c r="E33" s="184">
        <v>3605</v>
      </c>
      <c r="F33" s="185">
        <v>3.3141806481268674E-2</v>
      </c>
      <c r="G33" s="184">
        <v>14724</v>
      </c>
      <c r="H33" s="185">
        <v>4.0046236486027065E-2</v>
      </c>
      <c r="I33" s="184">
        <v>82</v>
      </c>
      <c r="J33" s="185">
        <v>1.070076993344643E-2</v>
      </c>
      <c r="K33" s="184">
        <v>85</v>
      </c>
      <c r="L33" s="185">
        <v>1.8575174825174824E-2</v>
      </c>
      <c r="M33" s="184">
        <v>1134</v>
      </c>
      <c r="N33" s="185">
        <v>2.5243193909578611E-2</v>
      </c>
      <c r="O33" s="184">
        <v>37013</v>
      </c>
      <c r="P33" s="186">
        <v>2.3980583845225362E-2</v>
      </c>
      <c r="R33" s="8"/>
    </row>
    <row r="34" spans="1:18" ht="15" customHeight="1">
      <c r="A34" s="161" t="s">
        <v>19</v>
      </c>
      <c r="B34" s="172"/>
      <c r="C34" s="173">
        <v>13281</v>
      </c>
      <c r="D34" s="174">
        <v>6.3941063103825635E-3</v>
      </c>
      <c r="E34" s="173">
        <v>174</v>
      </c>
      <c r="F34" s="174">
        <v>1.5996322684440358E-3</v>
      </c>
      <c r="G34" s="173">
        <v>687</v>
      </c>
      <c r="H34" s="174">
        <v>1.8684979941524444E-3</v>
      </c>
      <c r="I34" s="173">
        <v>49</v>
      </c>
      <c r="J34" s="174">
        <v>6.3943625212057945E-3</v>
      </c>
      <c r="K34" s="173">
        <v>25</v>
      </c>
      <c r="L34" s="174">
        <v>5.463286713286713E-3</v>
      </c>
      <c r="M34" s="173">
        <v>468</v>
      </c>
      <c r="N34" s="174">
        <v>1.0417826057921332E-2</v>
      </c>
      <c r="O34" s="173">
        <v>11878</v>
      </c>
      <c r="P34" s="175">
        <v>7.6957116395208938E-3</v>
      </c>
      <c r="R34" s="8"/>
    </row>
    <row r="35" spans="1:18" ht="15" customHeight="1">
      <c r="A35" s="162" t="s">
        <v>20</v>
      </c>
      <c r="B35" s="169"/>
      <c r="C35" s="176">
        <v>69713</v>
      </c>
      <c r="D35" s="177">
        <v>3.3563160395730714E-2</v>
      </c>
      <c r="E35" s="176">
        <v>1094</v>
      </c>
      <c r="F35" s="177">
        <v>1.0057458055619398E-2</v>
      </c>
      <c r="G35" s="176">
        <v>9506</v>
      </c>
      <c r="H35" s="177">
        <v>2.5854355069014755E-2</v>
      </c>
      <c r="I35" s="176">
        <v>133</v>
      </c>
      <c r="J35" s="177">
        <v>1.7356126843272871E-2</v>
      </c>
      <c r="K35" s="176">
        <v>107</v>
      </c>
      <c r="L35" s="177">
        <v>2.3382867132867132E-2</v>
      </c>
      <c r="M35" s="176">
        <v>1406</v>
      </c>
      <c r="N35" s="177">
        <v>3.129799879794315E-2</v>
      </c>
      <c r="O35" s="176">
        <v>57467</v>
      </c>
      <c r="P35" s="178">
        <v>3.7232653711765214E-2</v>
      </c>
      <c r="R35" s="8"/>
    </row>
    <row r="36" spans="1:18" ht="15" customHeight="1">
      <c r="A36" s="161" t="s">
        <v>22</v>
      </c>
      <c r="B36" s="172"/>
      <c r="C36" s="173">
        <v>29189</v>
      </c>
      <c r="D36" s="174">
        <v>1.4052975611306124E-2</v>
      </c>
      <c r="E36" s="173">
        <v>412</v>
      </c>
      <c r="F36" s="174">
        <v>3.7876350264307054E-3</v>
      </c>
      <c r="G36" s="173">
        <v>3139</v>
      </c>
      <c r="H36" s="174">
        <v>8.5374311552322019E-3</v>
      </c>
      <c r="I36" s="173">
        <v>84</v>
      </c>
      <c r="J36" s="174">
        <v>1.0961764322067075E-2</v>
      </c>
      <c r="K36" s="173">
        <v>51</v>
      </c>
      <c r="L36" s="174">
        <v>1.1145104895104896E-2</v>
      </c>
      <c r="M36" s="173">
        <v>568</v>
      </c>
      <c r="N36" s="174">
        <v>1.2643857266878882E-2</v>
      </c>
      <c r="O36" s="173">
        <v>24935</v>
      </c>
      <c r="P36" s="175">
        <v>1.6155292956007195E-2</v>
      </c>
      <c r="R36" s="8"/>
    </row>
    <row r="37" spans="1:18" ht="15" customHeight="1">
      <c r="A37" s="162" t="s">
        <v>10</v>
      </c>
      <c r="B37" s="169"/>
      <c r="C37" s="176">
        <v>6131</v>
      </c>
      <c r="D37" s="177">
        <v>2.951755574802763E-3</v>
      </c>
      <c r="E37" s="176">
        <v>69</v>
      </c>
      <c r="F37" s="177">
        <v>6.3433693403815215E-4</v>
      </c>
      <c r="G37" s="176">
        <v>1019</v>
      </c>
      <c r="H37" s="177">
        <v>2.7714693683280069E-3</v>
      </c>
      <c r="I37" s="176">
        <v>10</v>
      </c>
      <c r="J37" s="177">
        <v>1.3049719431032234E-3</v>
      </c>
      <c r="K37" s="176">
        <v>11</v>
      </c>
      <c r="L37" s="177">
        <v>2.403846153846154E-3</v>
      </c>
      <c r="M37" s="176">
        <v>213</v>
      </c>
      <c r="N37" s="177">
        <v>4.7414464750795806E-3</v>
      </c>
      <c r="O37" s="176">
        <v>4809</v>
      </c>
      <c r="P37" s="178">
        <v>3.1157330589708689E-3</v>
      </c>
      <c r="R37" s="8"/>
    </row>
    <row r="38" spans="1:18" ht="15" customHeight="1">
      <c r="A38" s="161" t="s">
        <v>11</v>
      </c>
      <c r="B38" s="172"/>
      <c r="C38" s="173">
        <v>14647</v>
      </c>
      <c r="D38" s="174">
        <v>7.0517638075576691E-3</v>
      </c>
      <c r="E38" s="173">
        <v>96</v>
      </c>
      <c r="F38" s="174">
        <v>8.8255573431395083E-4</v>
      </c>
      <c r="G38" s="173">
        <v>2203</v>
      </c>
      <c r="H38" s="174">
        <v>5.9917046304480857E-3</v>
      </c>
      <c r="I38" s="173">
        <v>13</v>
      </c>
      <c r="J38" s="174">
        <v>1.6964635260341902E-3</v>
      </c>
      <c r="K38" s="173">
        <v>53</v>
      </c>
      <c r="L38" s="174">
        <v>1.1582167832167832E-2</v>
      </c>
      <c r="M38" s="173">
        <v>303</v>
      </c>
      <c r="N38" s="174">
        <v>6.7448745631413752E-3</v>
      </c>
      <c r="O38" s="173">
        <v>11979</v>
      </c>
      <c r="P38" s="175">
        <v>7.7611491606180156E-3</v>
      </c>
      <c r="R38" s="8"/>
    </row>
    <row r="39" spans="1:18" ht="15" customHeight="1">
      <c r="A39" s="162" t="s">
        <v>12</v>
      </c>
      <c r="B39" s="169"/>
      <c r="C39" s="176">
        <v>13354</v>
      </c>
      <c r="D39" s="177">
        <v>6.4292519892213502E-3</v>
      </c>
      <c r="E39" s="176">
        <v>141</v>
      </c>
      <c r="F39" s="177">
        <v>1.2962537347736152E-3</v>
      </c>
      <c r="G39" s="176">
        <v>1986</v>
      </c>
      <c r="H39" s="177">
        <v>5.4015094852791186E-3</v>
      </c>
      <c r="I39" s="176">
        <v>51</v>
      </c>
      <c r="J39" s="177">
        <v>6.6553569098264384E-3</v>
      </c>
      <c r="K39" s="176">
        <v>43</v>
      </c>
      <c r="L39" s="177">
        <v>9.3968531468531461E-3</v>
      </c>
      <c r="M39" s="176">
        <v>337</v>
      </c>
      <c r="N39" s="177">
        <v>7.5017251741869425E-3</v>
      </c>
      <c r="O39" s="176">
        <v>10796</v>
      </c>
      <c r="P39" s="178">
        <v>6.9946878986586608E-3</v>
      </c>
      <c r="R39" s="8"/>
    </row>
    <row r="40" spans="1:18" ht="15" customHeight="1">
      <c r="A40" s="161" t="s">
        <v>23</v>
      </c>
      <c r="B40" s="172"/>
      <c r="C40" s="173">
        <v>14647</v>
      </c>
      <c r="D40" s="174">
        <v>7.0517638075576691E-3</v>
      </c>
      <c r="E40" s="173">
        <v>96</v>
      </c>
      <c r="F40" s="174">
        <v>8.8255573431395083E-4</v>
      </c>
      <c r="G40" s="173">
        <v>2203</v>
      </c>
      <c r="H40" s="174">
        <v>5.9917046304480857E-3</v>
      </c>
      <c r="I40" s="173">
        <v>13</v>
      </c>
      <c r="J40" s="174">
        <v>1.6964635260341902E-3</v>
      </c>
      <c r="K40" s="173">
        <v>53</v>
      </c>
      <c r="L40" s="174">
        <v>1.1582167832167832E-2</v>
      </c>
      <c r="M40" s="173">
        <v>303</v>
      </c>
      <c r="N40" s="174">
        <v>6.7448745631413752E-3</v>
      </c>
      <c r="O40" s="173">
        <v>11979</v>
      </c>
      <c r="P40" s="175">
        <v>7.7611491606180156E-3</v>
      </c>
      <c r="R40" s="8"/>
    </row>
    <row r="41" spans="1:18" ht="15" customHeight="1">
      <c r="A41" s="162" t="s">
        <v>13</v>
      </c>
      <c r="B41" s="169"/>
      <c r="C41" s="176">
        <v>203082</v>
      </c>
      <c r="D41" s="177">
        <v>9.777335273888349E-2</v>
      </c>
      <c r="E41" s="176">
        <v>6705</v>
      </c>
      <c r="F41" s="177">
        <v>6.1641002068490006E-2</v>
      </c>
      <c r="G41" s="176">
        <v>26918</v>
      </c>
      <c r="H41" s="177">
        <v>7.3211395933909018E-2</v>
      </c>
      <c r="I41" s="176">
        <v>767</v>
      </c>
      <c r="J41" s="177">
        <v>0.10009134803601723</v>
      </c>
      <c r="K41" s="176">
        <v>451</v>
      </c>
      <c r="L41" s="177">
        <v>9.8557692307692304E-2</v>
      </c>
      <c r="M41" s="176">
        <v>3459</v>
      </c>
      <c r="N41" s="177">
        <v>7.6998419517841643E-2</v>
      </c>
      <c r="O41" s="176">
        <v>164782</v>
      </c>
      <c r="P41" s="178">
        <v>0.10676163961807812</v>
      </c>
      <c r="R41" s="8"/>
    </row>
    <row r="42" spans="1:18" ht="15" customHeight="1">
      <c r="A42" s="161"/>
      <c r="B42" s="179" t="s">
        <v>50</v>
      </c>
      <c r="C42" s="180">
        <v>82704</v>
      </c>
      <c r="D42" s="181">
        <v>3.9817646886068779E-2</v>
      </c>
      <c r="E42" s="180">
        <v>3661</v>
      </c>
      <c r="F42" s="181">
        <v>3.3656630659618478E-2</v>
      </c>
      <c r="G42" s="180">
        <v>16385</v>
      </c>
      <c r="H42" s="181">
        <v>4.4563813150200582E-2</v>
      </c>
      <c r="I42" s="180">
        <v>194</v>
      </c>
      <c r="J42" s="181">
        <v>2.5316455696202531E-2</v>
      </c>
      <c r="K42" s="180">
        <v>184</v>
      </c>
      <c r="L42" s="181">
        <v>4.0209790209790208E-2</v>
      </c>
      <c r="M42" s="180">
        <v>993</v>
      </c>
      <c r="N42" s="181">
        <v>2.2104489904948468E-2</v>
      </c>
      <c r="O42" s="180">
        <v>61287</v>
      </c>
      <c r="P42" s="182">
        <v>3.9707617380983079E-2</v>
      </c>
      <c r="R42" s="8"/>
    </row>
    <row r="43" spans="1:18" ht="15" customHeight="1">
      <c r="A43" s="162" t="s">
        <v>14</v>
      </c>
      <c r="B43" s="169"/>
      <c r="C43" s="176">
        <v>9392</v>
      </c>
      <c r="D43" s="177">
        <v>4.5217563788203475E-3</v>
      </c>
      <c r="E43" s="176">
        <v>77</v>
      </c>
      <c r="F43" s="177">
        <v>7.0788324523098143E-4</v>
      </c>
      <c r="G43" s="176">
        <v>2069</v>
      </c>
      <c r="H43" s="177">
        <v>5.6272523288230097E-3</v>
      </c>
      <c r="I43" s="176">
        <v>50</v>
      </c>
      <c r="J43" s="177">
        <v>6.524859715516116E-3</v>
      </c>
      <c r="K43" s="176">
        <v>37</v>
      </c>
      <c r="L43" s="177">
        <v>8.085664335664336E-3</v>
      </c>
      <c r="M43" s="176">
        <v>266</v>
      </c>
      <c r="N43" s="177">
        <v>5.9212430158270815E-3</v>
      </c>
      <c r="O43" s="176">
        <v>6893</v>
      </c>
      <c r="P43" s="178">
        <v>4.4659488408164269E-3</v>
      </c>
      <c r="R43" s="8"/>
    </row>
    <row r="44" spans="1:18" ht="15" customHeight="1">
      <c r="A44" s="161" t="s">
        <v>24</v>
      </c>
      <c r="B44" s="172"/>
      <c r="C44" s="173">
        <v>13906</v>
      </c>
      <c r="D44" s="174">
        <v>6.6950110949612167E-3</v>
      </c>
      <c r="E44" s="173">
        <v>49</v>
      </c>
      <c r="F44" s="174">
        <v>4.5047115605607906E-4</v>
      </c>
      <c r="G44" s="173">
        <v>222</v>
      </c>
      <c r="H44" s="174">
        <v>6.0379411164751475E-4</v>
      </c>
      <c r="I44" s="173">
        <v>13</v>
      </c>
      <c r="J44" s="174">
        <v>1.6964635260341902E-3</v>
      </c>
      <c r="K44" s="173">
        <v>14</v>
      </c>
      <c r="L44" s="174">
        <v>3.0594405594405595E-3</v>
      </c>
      <c r="M44" s="173">
        <v>353</v>
      </c>
      <c r="N44" s="174">
        <v>7.8578901676201497E-3</v>
      </c>
      <c r="O44" s="173">
        <v>13255</v>
      </c>
      <c r="P44" s="175">
        <v>8.5878647736866015E-3</v>
      </c>
      <c r="R44" s="8"/>
    </row>
    <row r="45" spans="1:18" ht="15" customHeight="1">
      <c r="A45" s="162" t="s">
        <v>15</v>
      </c>
      <c r="B45" s="169"/>
      <c r="C45" s="176">
        <v>35574</v>
      </c>
      <c r="D45" s="177">
        <v>4.5217563788203475E-3</v>
      </c>
      <c r="E45" s="176">
        <v>510</v>
      </c>
      <c r="F45" s="177">
        <v>7.0788324523098143E-4</v>
      </c>
      <c r="G45" s="176">
        <v>10963</v>
      </c>
      <c r="H45" s="177">
        <v>5.6272523288230097E-3</v>
      </c>
      <c r="I45" s="176">
        <v>65</v>
      </c>
      <c r="J45" s="177">
        <v>6.524859715516116E-3</v>
      </c>
      <c r="K45" s="176">
        <v>55</v>
      </c>
      <c r="L45" s="177">
        <v>8.085664335664336E-3</v>
      </c>
      <c r="M45" s="176">
        <v>819</v>
      </c>
      <c r="N45" s="177">
        <v>5.9212430158270815E-3</v>
      </c>
      <c r="O45" s="176">
        <v>23162</v>
      </c>
      <c r="P45" s="178">
        <v>4.4659488408164269E-3</v>
      </c>
      <c r="R45" s="8"/>
    </row>
    <row r="46" spans="1:18" ht="15" customHeight="1">
      <c r="A46" s="163" t="s">
        <v>25</v>
      </c>
      <c r="B46" s="187"/>
      <c r="C46" s="188">
        <v>3989</v>
      </c>
      <c r="D46" s="189">
        <v>1.9204946970948003E-3</v>
      </c>
      <c r="E46" s="188">
        <v>62</v>
      </c>
      <c r="F46" s="189">
        <v>5.6998391174442652E-4</v>
      </c>
      <c r="G46" s="188">
        <v>341</v>
      </c>
      <c r="H46" s="189">
        <v>9.2744951383694836E-4</v>
      </c>
      <c r="I46" s="188">
        <v>10</v>
      </c>
      <c r="J46" s="189">
        <v>1.3049719431032234E-3</v>
      </c>
      <c r="K46" s="188">
        <v>36</v>
      </c>
      <c r="L46" s="189">
        <v>7.8671328671328679E-3</v>
      </c>
      <c r="M46" s="188">
        <v>199</v>
      </c>
      <c r="N46" s="189">
        <v>4.4298021058255237E-3</v>
      </c>
      <c r="O46" s="188">
        <v>3341</v>
      </c>
      <c r="P46" s="190">
        <v>2.1646213661929035E-3</v>
      </c>
      <c r="R46" s="8"/>
    </row>
    <row r="47" spans="1:18">
      <c r="A47" s="44"/>
      <c r="B47" s="44"/>
      <c r="C47" s="45"/>
      <c r="D47" s="46"/>
      <c r="E47" s="45"/>
      <c r="F47" s="45"/>
      <c r="G47" s="45"/>
      <c r="H47" s="46"/>
      <c r="I47" s="45"/>
      <c r="J47" s="45"/>
      <c r="K47" s="45"/>
      <c r="L47" s="45"/>
      <c r="M47" s="45"/>
      <c r="N47" s="45"/>
      <c r="O47" s="45"/>
      <c r="P47" s="45"/>
      <c r="R47" s="40"/>
    </row>
    <row r="48" spans="1:18">
      <c r="A48" s="40" t="s">
        <v>66</v>
      </c>
      <c r="B48" s="40"/>
      <c r="C48" s="45"/>
      <c r="D48" s="46"/>
      <c r="E48" s="45"/>
      <c r="F48" s="45"/>
      <c r="G48" s="45"/>
      <c r="H48" s="46"/>
      <c r="I48" s="45"/>
      <c r="J48" s="45"/>
      <c r="K48" s="45"/>
      <c r="L48" s="45"/>
      <c r="M48" s="45"/>
      <c r="N48" s="45"/>
      <c r="O48" s="45"/>
      <c r="P48" s="45"/>
      <c r="R48" s="40"/>
    </row>
    <row r="49" spans="1:18">
      <c r="A49" s="40" t="s">
        <v>67</v>
      </c>
      <c r="B49" s="40"/>
      <c r="C49" s="45"/>
      <c r="D49" s="46"/>
      <c r="E49" s="45"/>
      <c r="F49" s="45"/>
      <c r="G49" s="45"/>
      <c r="H49" s="46"/>
      <c r="I49" s="45"/>
      <c r="J49" s="45"/>
      <c r="K49" s="45"/>
      <c r="L49" s="45"/>
      <c r="M49" s="45"/>
      <c r="N49" s="45"/>
      <c r="O49" s="45"/>
      <c r="P49" s="45"/>
      <c r="R49" s="40"/>
    </row>
    <row r="50" spans="1:18">
      <c r="A50" s="40" t="s">
        <v>74</v>
      </c>
      <c r="B50" s="40"/>
      <c r="C50" s="45"/>
      <c r="D50" s="46"/>
      <c r="E50" s="45"/>
      <c r="F50" s="45"/>
      <c r="G50" s="45"/>
      <c r="H50" s="46"/>
      <c r="I50" s="45"/>
      <c r="J50" s="45"/>
      <c r="K50" s="45"/>
      <c r="L50" s="45"/>
      <c r="M50" s="45"/>
      <c r="N50" s="45"/>
      <c r="O50" s="45"/>
      <c r="P50" s="45"/>
      <c r="R50" s="40"/>
    </row>
    <row r="51" spans="1:18">
      <c r="A51" s="40" t="s">
        <v>68</v>
      </c>
      <c r="B51" s="40"/>
      <c r="C51" s="45"/>
      <c r="D51" s="46"/>
      <c r="E51" s="45"/>
      <c r="F51" s="45"/>
      <c r="G51" s="45"/>
      <c r="H51" s="46"/>
      <c r="I51" s="45"/>
      <c r="J51" s="45"/>
      <c r="K51" s="45"/>
      <c r="L51" s="45"/>
      <c r="M51" s="45"/>
      <c r="N51" s="45"/>
      <c r="O51" s="45"/>
      <c r="P51" s="45"/>
      <c r="R51" s="40"/>
    </row>
    <row r="52" spans="1:18">
      <c r="A52" s="40" t="s">
        <v>69</v>
      </c>
      <c r="B52" s="40"/>
      <c r="C52" s="45"/>
      <c r="D52" s="46"/>
      <c r="E52" s="45"/>
      <c r="F52" s="45"/>
      <c r="G52" s="45"/>
      <c r="H52" s="46"/>
      <c r="I52" s="45"/>
      <c r="J52" s="45"/>
      <c r="K52" s="45"/>
      <c r="L52" s="45"/>
      <c r="M52" s="45"/>
      <c r="N52" s="45"/>
      <c r="O52" s="45"/>
      <c r="P52" s="45"/>
      <c r="R52" s="40"/>
    </row>
    <row r="53" spans="1:18">
      <c r="A53" s="40" t="s">
        <v>70</v>
      </c>
      <c r="B53" s="40"/>
      <c r="C53" s="45"/>
      <c r="D53" s="46"/>
      <c r="E53" s="45"/>
      <c r="F53" s="45"/>
      <c r="G53" s="45"/>
      <c r="H53" s="46"/>
      <c r="I53" s="45"/>
      <c r="J53" s="45"/>
      <c r="K53" s="45"/>
      <c r="L53" s="45"/>
      <c r="M53" s="45"/>
      <c r="N53" s="45"/>
      <c r="O53" s="45"/>
      <c r="P53" s="45"/>
      <c r="R53" s="40"/>
    </row>
    <row r="54" spans="1:18">
      <c r="A54" s="40" t="s">
        <v>71</v>
      </c>
      <c r="B54" s="40"/>
      <c r="C54" s="45"/>
      <c r="D54" s="46"/>
      <c r="E54" s="45"/>
      <c r="F54" s="45"/>
      <c r="G54" s="45"/>
      <c r="H54" s="46"/>
      <c r="I54" s="45"/>
      <c r="J54" s="45"/>
      <c r="K54" s="45"/>
      <c r="L54" s="45"/>
      <c r="M54" s="45"/>
      <c r="N54" s="45"/>
      <c r="O54" s="45"/>
      <c r="P54" s="45"/>
      <c r="R54" s="41"/>
    </row>
    <row r="55" spans="1:18">
      <c r="A55" s="40" t="s">
        <v>72</v>
      </c>
      <c r="B55" s="40"/>
      <c r="C55" s="45"/>
      <c r="D55" s="46"/>
      <c r="E55" s="45"/>
      <c r="F55" s="45"/>
      <c r="G55" s="45"/>
      <c r="H55" s="46"/>
      <c r="I55" s="45"/>
      <c r="J55" s="45"/>
      <c r="K55" s="45"/>
      <c r="L55" s="45"/>
      <c r="M55" s="45"/>
      <c r="N55" s="45"/>
      <c r="O55" s="45"/>
      <c r="P55" s="45"/>
      <c r="R55" s="40"/>
    </row>
    <row r="56" spans="1:18">
      <c r="A56" s="44"/>
      <c r="B56" s="44"/>
      <c r="C56" s="45"/>
      <c r="D56" s="46"/>
      <c r="E56" s="45"/>
      <c r="F56" s="45"/>
      <c r="G56" s="45"/>
      <c r="H56" s="46"/>
      <c r="I56" s="45"/>
      <c r="J56" s="45"/>
      <c r="K56" s="45"/>
      <c r="L56" s="45"/>
      <c r="M56" s="45"/>
      <c r="N56" s="45"/>
      <c r="O56" s="45"/>
      <c r="P56" s="45"/>
      <c r="R56" s="40"/>
    </row>
    <row r="57" spans="1:18">
      <c r="A57" s="44"/>
      <c r="B57" s="44"/>
      <c r="C57" s="45"/>
      <c r="D57" s="46"/>
      <c r="E57" s="45"/>
      <c r="F57" s="45"/>
      <c r="G57" s="45"/>
      <c r="H57" s="46"/>
      <c r="I57" s="45"/>
      <c r="J57" s="45"/>
      <c r="K57" s="45"/>
      <c r="L57" s="45"/>
      <c r="M57" s="45"/>
      <c r="N57" s="45"/>
      <c r="O57" s="45"/>
      <c r="P57" s="45"/>
      <c r="R57" s="40"/>
    </row>
    <row r="58" spans="1:18">
      <c r="A58" s="44"/>
      <c r="B58" s="44"/>
      <c r="C58" s="45"/>
      <c r="D58" s="46"/>
      <c r="E58" s="45"/>
      <c r="F58" s="45"/>
      <c r="G58" s="45"/>
      <c r="H58" s="46"/>
      <c r="I58" s="45"/>
      <c r="J58" s="45"/>
      <c r="K58" s="45"/>
      <c r="L58" s="45"/>
      <c r="M58" s="45"/>
      <c r="N58" s="45"/>
      <c r="O58" s="45"/>
      <c r="P58" s="45"/>
      <c r="R58" s="40"/>
    </row>
  </sheetData>
  <mergeCells count="11">
    <mergeCell ref="A1:P1"/>
    <mergeCell ref="A2:P2"/>
    <mergeCell ref="A6:B6"/>
    <mergeCell ref="A4:B5"/>
    <mergeCell ref="E4:F4"/>
    <mergeCell ref="G4:H4"/>
    <mergeCell ref="I4:J4"/>
    <mergeCell ref="K4:L4"/>
    <mergeCell ref="M4:N4"/>
    <mergeCell ref="O4:P4"/>
    <mergeCell ref="C4:D4"/>
  </mergeCells>
  <hyperlinks>
    <hyperlink ref="R1" location="INDICE!Área_de_impresión" display="INDICE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R36"/>
  <sheetViews>
    <sheetView showGridLines="0" zoomScale="90" zoomScaleNormal="90" workbookViewId="0">
      <selection sqref="A1:P1"/>
    </sheetView>
  </sheetViews>
  <sheetFormatPr baseColWidth="10" defaultRowHeight="12.75"/>
  <cols>
    <col min="1" max="1" width="17.140625" style="8" customWidth="1"/>
    <col min="2" max="2" width="19" style="8" customWidth="1"/>
    <col min="3" max="3" width="13.42578125" style="8" bestFit="1" customWidth="1"/>
    <col min="4" max="4" width="11.140625" style="8" customWidth="1"/>
    <col min="5" max="5" width="13.42578125" style="8" bestFit="1" customWidth="1"/>
    <col min="6" max="16" width="11.42578125" style="8"/>
    <col min="17" max="17" width="1.42578125" style="8" customWidth="1"/>
    <col min="18" max="18" width="11.42578125" style="2"/>
    <col min="19" max="16384" width="11.42578125" style="8"/>
  </cols>
  <sheetData>
    <row r="1" spans="1:18" s="30" customFormat="1" ht="30" customHeight="1">
      <c r="A1" s="346" t="s">
        <v>54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8"/>
      <c r="R1" s="31" t="s">
        <v>134</v>
      </c>
    </row>
    <row r="2" spans="1:18" s="19" customFormat="1" ht="30" customHeight="1">
      <c r="A2" s="328" t="s">
        <v>291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38"/>
    </row>
    <row r="3" spans="1:18" s="44" customFormat="1" ht="8.1" customHeight="1"/>
    <row r="4" spans="1:18" s="5" customFormat="1" ht="27.75" customHeight="1">
      <c r="A4" s="330" t="s">
        <v>224</v>
      </c>
      <c r="B4" s="329"/>
      <c r="C4" s="354" t="s">
        <v>0</v>
      </c>
      <c r="D4" s="352"/>
      <c r="E4" s="351" t="s">
        <v>32</v>
      </c>
      <c r="F4" s="352"/>
      <c r="G4" s="351" t="s">
        <v>31</v>
      </c>
      <c r="H4" s="352"/>
      <c r="I4" s="351" t="s">
        <v>34</v>
      </c>
      <c r="J4" s="352"/>
      <c r="K4" s="351" t="s">
        <v>33</v>
      </c>
      <c r="L4" s="352"/>
      <c r="M4" s="351" t="s">
        <v>35</v>
      </c>
      <c r="N4" s="352"/>
      <c r="O4" s="351" t="s">
        <v>57</v>
      </c>
      <c r="P4" s="353"/>
      <c r="R4" s="15"/>
    </row>
    <row r="5" spans="1:18" s="5" customFormat="1" ht="18.75" customHeight="1">
      <c r="A5" s="332"/>
      <c r="B5" s="321"/>
      <c r="C5" s="207" t="s">
        <v>148</v>
      </c>
      <c r="D5" s="208" t="s">
        <v>156</v>
      </c>
      <c r="E5" s="209" t="s">
        <v>148</v>
      </c>
      <c r="F5" s="208" t="s">
        <v>156</v>
      </c>
      <c r="G5" s="209" t="s">
        <v>148</v>
      </c>
      <c r="H5" s="208" t="s">
        <v>156</v>
      </c>
      <c r="I5" s="209" t="s">
        <v>148</v>
      </c>
      <c r="J5" s="208" t="s">
        <v>156</v>
      </c>
      <c r="K5" s="209" t="s">
        <v>148</v>
      </c>
      <c r="L5" s="208" t="s">
        <v>156</v>
      </c>
      <c r="M5" s="209" t="s">
        <v>148</v>
      </c>
      <c r="N5" s="208" t="s">
        <v>156</v>
      </c>
      <c r="O5" s="209" t="s">
        <v>148</v>
      </c>
      <c r="P5" s="210" t="s">
        <v>156</v>
      </c>
    </row>
    <row r="6" spans="1:18" s="5" customFormat="1" ht="15" customHeight="1">
      <c r="A6" s="349" t="s">
        <v>0</v>
      </c>
      <c r="B6" s="350"/>
      <c r="C6" s="204">
        <v>0.21554179021059758</v>
      </c>
      <c r="D6" s="198">
        <v>-0.53</v>
      </c>
      <c r="E6" s="204">
        <v>1.1287809037715044E-2</v>
      </c>
      <c r="F6" s="198">
        <v>0.09</v>
      </c>
      <c r="G6" s="204">
        <v>5.2046991954714572E-2</v>
      </c>
      <c r="H6" s="198">
        <v>-0.43</v>
      </c>
      <c r="I6" s="204">
        <v>7.9520552200423248E-4</v>
      </c>
      <c r="J6" s="198">
        <v>0.02</v>
      </c>
      <c r="K6" s="204">
        <v>4.7486108165096803E-4</v>
      </c>
      <c r="L6" s="198">
        <v>0</v>
      </c>
      <c r="M6" s="204">
        <v>4.6617535775800778E-3</v>
      </c>
      <c r="N6" s="198">
        <v>0.02</v>
      </c>
      <c r="O6" s="204">
        <v>0.55353547258853697</v>
      </c>
      <c r="P6" s="198">
        <v>-2.08</v>
      </c>
    </row>
    <row r="7" spans="1:18" ht="15" customHeight="1">
      <c r="A7" s="160" t="s">
        <v>141</v>
      </c>
      <c r="B7" s="169"/>
      <c r="C7" s="137">
        <v>0.24796782651614532</v>
      </c>
      <c r="D7" s="105">
        <v>-0.5</v>
      </c>
      <c r="E7" s="137">
        <v>1.2746401633565807E-2</v>
      </c>
      <c r="F7" s="105">
        <v>0.05</v>
      </c>
      <c r="G7" s="137">
        <v>4.7826989527311563E-2</v>
      </c>
      <c r="H7" s="105">
        <v>-0.56999999999999995</v>
      </c>
      <c r="I7" s="137">
        <v>7.8074601657503813E-4</v>
      </c>
      <c r="J7" s="105">
        <v>0.02</v>
      </c>
      <c r="K7" s="137">
        <v>5.6194435513981132E-4</v>
      </c>
      <c r="L7" s="105">
        <v>0.01</v>
      </c>
      <c r="M7" s="137">
        <v>5.1934068361806241E-3</v>
      </c>
      <c r="N7" s="105">
        <v>0.04</v>
      </c>
      <c r="O7" s="137">
        <v>0.48096312040516759</v>
      </c>
      <c r="P7" s="105">
        <v>-4.01</v>
      </c>
      <c r="R7" s="8"/>
    </row>
    <row r="8" spans="1:18" ht="15" customHeight="1">
      <c r="A8" s="161" t="s">
        <v>104</v>
      </c>
      <c r="B8" s="172"/>
      <c r="C8" s="139">
        <v>0.24014399302407036</v>
      </c>
      <c r="D8" s="107">
        <v>0.64</v>
      </c>
      <c r="E8" s="139">
        <v>2.0115472722225376E-2</v>
      </c>
      <c r="F8" s="107">
        <v>0.23</v>
      </c>
      <c r="G8" s="139">
        <v>6.3663954872934858E-2</v>
      </c>
      <c r="H8" s="107">
        <v>-0.33</v>
      </c>
      <c r="I8" s="139">
        <v>7.956725151847927E-4</v>
      </c>
      <c r="J8" s="107">
        <v>0.02</v>
      </c>
      <c r="K8" s="139">
        <v>5.024471112054415E-4</v>
      </c>
      <c r="L8" s="107">
        <v>0</v>
      </c>
      <c r="M8" s="139">
        <v>5.0515098019468709E-3</v>
      </c>
      <c r="N8" s="107">
        <v>0.06</v>
      </c>
      <c r="O8" s="139">
        <v>0.4976672554180005</v>
      </c>
      <c r="P8" s="107">
        <v>-0.44</v>
      </c>
      <c r="R8" s="8"/>
    </row>
    <row r="9" spans="1:18" ht="15" customHeight="1">
      <c r="A9" s="162" t="s">
        <v>2</v>
      </c>
      <c r="B9" s="169"/>
      <c r="C9" s="140">
        <v>0.22570477166010833</v>
      </c>
      <c r="D9" s="109">
        <v>0.34</v>
      </c>
      <c r="E9" s="140">
        <v>1.6841950124571972E-2</v>
      </c>
      <c r="F9" s="109">
        <v>0.21</v>
      </c>
      <c r="G9" s="140">
        <v>5.9940361327353725E-2</v>
      </c>
      <c r="H9" s="109">
        <v>-0.12</v>
      </c>
      <c r="I9" s="140">
        <v>1.0120029033537214E-3</v>
      </c>
      <c r="J9" s="109">
        <v>0.03</v>
      </c>
      <c r="K9" s="140">
        <v>5.0740766228828322E-4</v>
      </c>
      <c r="L9" s="109">
        <v>0</v>
      </c>
      <c r="M9" s="140">
        <v>4.8188493969096493E-3</v>
      </c>
      <c r="N9" s="109">
        <v>0.04</v>
      </c>
      <c r="O9" s="140">
        <v>0.5192932478210065</v>
      </c>
      <c r="P9" s="109">
        <v>0.2</v>
      </c>
      <c r="R9" s="8"/>
    </row>
    <row r="10" spans="1:18" ht="15" customHeight="1">
      <c r="A10" s="161"/>
      <c r="B10" s="179" t="s">
        <v>93</v>
      </c>
      <c r="C10" s="205">
        <v>0.23968575913250906</v>
      </c>
      <c r="D10" s="199">
        <v>1.41</v>
      </c>
      <c r="E10" s="205">
        <v>1.3086955974036215E-2</v>
      </c>
      <c r="F10" s="199">
        <v>0.2</v>
      </c>
      <c r="G10" s="205">
        <v>4.8281879643063692E-2</v>
      </c>
      <c r="H10" s="199">
        <v>0.54</v>
      </c>
      <c r="I10" s="205">
        <v>1.2088352907744296E-3</v>
      </c>
      <c r="J10" s="199">
        <v>0.04</v>
      </c>
      <c r="K10" s="205">
        <v>3.8542574488460073E-4</v>
      </c>
      <c r="L10" s="199">
        <v>0</v>
      </c>
      <c r="M10" s="205">
        <v>5.5115881518497901E-3</v>
      </c>
      <c r="N10" s="199">
        <v>0.09</v>
      </c>
      <c r="O10" s="205">
        <v>0.42869208939658515</v>
      </c>
      <c r="P10" s="199">
        <v>4.55</v>
      </c>
      <c r="R10" s="8"/>
    </row>
    <row r="11" spans="1:18" ht="15" customHeight="1">
      <c r="A11" s="162"/>
      <c r="B11" s="183" t="s">
        <v>94</v>
      </c>
      <c r="C11" s="206">
        <v>0.2015804471939851</v>
      </c>
      <c r="D11" s="200">
        <v>-0.5</v>
      </c>
      <c r="E11" s="206">
        <v>6.1861682088567693E-3</v>
      </c>
      <c r="F11" s="200">
        <v>-0.03</v>
      </c>
      <c r="G11" s="206">
        <v>3.0146911621771102E-2</v>
      </c>
      <c r="H11" s="200">
        <v>-0.3</v>
      </c>
      <c r="I11" s="206">
        <v>5.1466305336147437E-4</v>
      </c>
      <c r="J11" s="200">
        <v>0.01</v>
      </c>
      <c r="K11" s="206">
        <v>3.7578572150202892E-4</v>
      </c>
      <c r="L11" s="200">
        <v>0</v>
      </c>
      <c r="M11" s="206">
        <v>4.4624554428365935E-3</v>
      </c>
      <c r="N11" s="200">
        <v>0.02</v>
      </c>
      <c r="O11" s="206">
        <v>0.45833624694335667</v>
      </c>
      <c r="P11" s="200">
        <v>-5.84</v>
      </c>
      <c r="R11" s="8"/>
    </row>
    <row r="12" spans="1:18" ht="15" customHeight="1">
      <c r="A12" s="161"/>
      <c r="B12" s="179" t="s">
        <v>95</v>
      </c>
      <c r="C12" s="205">
        <v>0.22222768302031431</v>
      </c>
      <c r="D12" s="199">
        <v>0.7</v>
      </c>
      <c r="E12" s="205">
        <v>2.3543288412159115E-2</v>
      </c>
      <c r="F12" s="199">
        <v>0.46</v>
      </c>
      <c r="G12" s="205">
        <v>5.6003835735734267E-2</v>
      </c>
      <c r="H12" s="199">
        <v>-0.39</v>
      </c>
      <c r="I12" s="205">
        <v>1.0282063248311371E-3</v>
      </c>
      <c r="J12" s="199">
        <v>0.04</v>
      </c>
      <c r="K12" s="205">
        <v>4.6137463293704871E-4</v>
      </c>
      <c r="L12" s="199">
        <v>-0.02</v>
      </c>
      <c r="M12" s="205">
        <v>4.3896500790867781E-3</v>
      </c>
      <c r="N12" s="199">
        <v>0.02</v>
      </c>
      <c r="O12" s="205">
        <v>0.56567743816090188</v>
      </c>
      <c r="P12" s="199">
        <v>-0.9</v>
      </c>
      <c r="R12" s="8"/>
    </row>
    <row r="13" spans="1:18" ht="15" customHeight="1">
      <c r="A13" s="162"/>
      <c r="B13" s="183" t="s">
        <v>96</v>
      </c>
      <c r="C13" s="206">
        <v>0.22470109965879209</v>
      </c>
      <c r="D13" s="200">
        <v>0.89</v>
      </c>
      <c r="E13" s="206">
        <v>2.9473105595927605E-2</v>
      </c>
      <c r="F13" s="200">
        <v>0.34</v>
      </c>
      <c r="G13" s="206">
        <v>7.6000948676457236E-2</v>
      </c>
      <c r="H13" s="200">
        <v>-0.04</v>
      </c>
      <c r="I13" s="206">
        <v>6.9388835124240987E-4</v>
      </c>
      <c r="J13" s="200">
        <v>0.02</v>
      </c>
      <c r="K13" s="206">
        <v>4.9073472749463208E-4</v>
      </c>
      <c r="L13" s="200">
        <v>0</v>
      </c>
      <c r="M13" s="206">
        <v>4.7701526199478211E-3</v>
      </c>
      <c r="N13" s="200">
        <v>0.05</v>
      </c>
      <c r="O13" s="206">
        <v>0.48282491101880737</v>
      </c>
      <c r="P13" s="200">
        <v>-1.35</v>
      </c>
      <c r="R13" s="8"/>
    </row>
    <row r="14" spans="1:18" ht="15" customHeight="1">
      <c r="A14" s="161"/>
      <c r="B14" s="179" t="s">
        <v>97</v>
      </c>
      <c r="C14" s="205">
        <v>0.24955562150227079</v>
      </c>
      <c r="D14" s="199">
        <v>1.63</v>
      </c>
      <c r="E14" s="205">
        <v>2.7761267071959347E-2</v>
      </c>
      <c r="F14" s="199">
        <v>0.55000000000000004</v>
      </c>
      <c r="G14" s="205">
        <v>8.5260764398450081E-2</v>
      </c>
      <c r="H14" s="199">
        <v>0.1</v>
      </c>
      <c r="I14" s="205">
        <v>5.6515517060495629E-4</v>
      </c>
      <c r="J14" s="199">
        <v>0.01</v>
      </c>
      <c r="K14" s="205">
        <v>5.2818240243453858E-4</v>
      </c>
      <c r="L14" s="199">
        <v>0</v>
      </c>
      <c r="M14" s="205">
        <v>4.7430779738621568E-3</v>
      </c>
      <c r="N14" s="199">
        <v>7.0000000000000007E-2</v>
      </c>
      <c r="O14" s="205">
        <v>0.47985565757623344</v>
      </c>
      <c r="P14" s="199">
        <v>1.72</v>
      </c>
      <c r="R14" s="8"/>
    </row>
    <row r="15" spans="1:18" ht="15" customHeight="1">
      <c r="A15" s="162"/>
      <c r="B15" s="183" t="s">
        <v>98</v>
      </c>
      <c r="C15" s="206">
        <v>0.23438456383151163</v>
      </c>
      <c r="D15" s="200">
        <v>2.38</v>
      </c>
      <c r="E15" s="206">
        <v>2.0853823632111985E-2</v>
      </c>
      <c r="F15" s="200">
        <v>0.21</v>
      </c>
      <c r="G15" s="206">
        <v>6.832976703092665E-2</v>
      </c>
      <c r="H15" s="200">
        <v>-0.48</v>
      </c>
      <c r="I15" s="206">
        <v>1.1806597009445478E-3</v>
      </c>
      <c r="J15" s="200">
        <v>0.03</v>
      </c>
      <c r="K15" s="206">
        <v>5.6671665645338296E-4</v>
      </c>
      <c r="L15" s="200">
        <v>0.01</v>
      </c>
      <c r="M15" s="206">
        <v>4.7833584455410534E-3</v>
      </c>
      <c r="N15" s="200">
        <v>0.05</v>
      </c>
      <c r="O15" s="206">
        <v>0.58708376414538843</v>
      </c>
      <c r="P15" s="200">
        <v>6.18</v>
      </c>
      <c r="R15" s="8"/>
    </row>
    <row r="16" spans="1:18" ht="15" customHeight="1">
      <c r="A16" s="161"/>
      <c r="B16" s="179" t="s">
        <v>99</v>
      </c>
      <c r="C16" s="205">
        <v>0.25564710468455132</v>
      </c>
      <c r="D16" s="199">
        <v>1.82</v>
      </c>
      <c r="E16" s="205">
        <v>2.194441563117808E-2</v>
      </c>
      <c r="F16" s="199">
        <v>0.3</v>
      </c>
      <c r="G16" s="205">
        <v>8.8226659972708704E-2</v>
      </c>
      <c r="H16" s="199">
        <v>-0.33</v>
      </c>
      <c r="I16" s="205">
        <v>8.3438014362565316E-4</v>
      </c>
      <c r="J16" s="199">
        <v>0.02</v>
      </c>
      <c r="K16" s="205">
        <v>5.4899163497040371E-4</v>
      </c>
      <c r="L16" s="199">
        <v>0</v>
      </c>
      <c r="M16" s="205">
        <v>5.4114889732796928E-3</v>
      </c>
      <c r="N16" s="199">
        <v>0.1</v>
      </c>
      <c r="O16" s="205">
        <v>0.59274242654443499</v>
      </c>
      <c r="P16" s="199">
        <v>7.06</v>
      </c>
      <c r="R16" s="8"/>
    </row>
    <row r="17" spans="1:18" ht="15" customHeight="1">
      <c r="A17" s="162"/>
      <c r="B17" s="183" t="s">
        <v>100</v>
      </c>
      <c r="C17" s="206">
        <v>0.26748484692263974</v>
      </c>
      <c r="D17" s="200">
        <v>1.29</v>
      </c>
      <c r="E17" s="206">
        <v>3.8438900792371604E-2</v>
      </c>
      <c r="F17" s="200">
        <v>0.62</v>
      </c>
      <c r="G17" s="206">
        <v>0.10648567837946578</v>
      </c>
      <c r="H17" s="200">
        <v>0.02</v>
      </c>
      <c r="I17" s="206">
        <v>7.4158651046376091E-4</v>
      </c>
      <c r="J17" s="200">
        <v>0.02</v>
      </c>
      <c r="K17" s="206">
        <v>5.3494651926682746E-4</v>
      </c>
      <c r="L17" s="200">
        <v>0</v>
      </c>
      <c r="M17" s="206">
        <v>5.5367930351552146E-3</v>
      </c>
      <c r="N17" s="200">
        <v>0.11</v>
      </c>
      <c r="O17" s="206">
        <v>0.52439237000594119</v>
      </c>
      <c r="P17" s="200">
        <v>1.5</v>
      </c>
      <c r="R17" s="8"/>
    </row>
    <row r="18" spans="1:18" ht="15" customHeight="1">
      <c r="A18" s="161"/>
      <c r="B18" s="179" t="s">
        <v>101</v>
      </c>
      <c r="C18" s="205">
        <v>0.18503084843967219</v>
      </c>
      <c r="D18" s="199">
        <v>-1.58</v>
      </c>
      <c r="E18" s="205">
        <v>2.170552500498496E-3</v>
      </c>
      <c r="F18" s="199">
        <v>0.03</v>
      </c>
      <c r="G18" s="205">
        <v>1.1700049886931029E-2</v>
      </c>
      <c r="H18" s="199">
        <v>-0.13</v>
      </c>
      <c r="I18" s="205">
        <v>8.8397501028366157E-4</v>
      </c>
      <c r="J18" s="199">
        <v>0.02</v>
      </c>
      <c r="K18" s="205">
        <v>5.5139035294921469E-4</v>
      </c>
      <c r="L18" s="199">
        <v>0.01</v>
      </c>
      <c r="M18" s="205">
        <v>4.0610337106100894E-3</v>
      </c>
      <c r="N18" s="199">
        <v>-0.06</v>
      </c>
      <c r="O18" s="205">
        <v>0.58870899518676045</v>
      </c>
      <c r="P18" s="199">
        <v>-1.64</v>
      </c>
      <c r="R18" s="8"/>
    </row>
    <row r="19" spans="1:18" ht="15" customHeight="1">
      <c r="A19" s="162"/>
      <c r="B19" s="183" t="s">
        <v>102</v>
      </c>
      <c r="C19" s="206">
        <v>0.33825275277111261</v>
      </c>
      <c r="D19" s="200">
        <v>-1.82</v>
      </c>
      <c r="E19" s="206">
        <v>1.9649783337649291E-2</v>
      </c>
      <c r="F19" s="200">
        <v>0.6</v>
      </c>
      <c r="G19" s="206">
        <v>9.2879016323044142E-2</v>
      </c>
      <c r="H19" s="200">
        <v>-0.28999999999999998</v>
      </c>
      <c r="I19" s="206">
        <v>1.0071748243418229E-3</v>
      </c>
      <c r="J19" s="200">
        <v>0.02</v>
      </c>
      <c r="K19" s="206">
        <v>5.7764438454898672E-4</v>
      </c>
      <c r="L19" s="200">
        <v>-0.01</v>
      </c>
      <c r="M19" s="206">
        <v>6.8181785902747911E-3</v>
      </c>
      <c r="N19" s="200">
        <v>7.0000000000000007E-2</v>
      </c>
      <c r="O19" s="206">
        <v>0.60361184092077791</v>
      </c>
      <c r="P19" s="200">
        <v>-6.11</v>
      </c>
      <c r="R19" s="8"/>
    </row>
    <row r="20" spans="1:18" ht="15" customHeight="1">
      <c r="A20" s="161"/>
      <c r="B20" s="179" t="s">
        <v>65</v>
      </c>
      <c r="C20" s="205">
        <v>0.18320240340963298</v>
      </c>
      <c r="D20" s="199">
        <v>-0.66</v>
      </c>
      <c r="E20" s="205">
        <v>3.5905396211034029E-3</v>
      </c>
      <c r="F20" s="199">
        <v>0.02</v>
      </c>
      <c r="G20" s="205">
        <v>3.1182837626874193E-2</v>
      </c>
      <c r="H20" s="199">
        <v>0.1</v>
      </c>
      <c r="I20" s="205">
        <v>1.5210985818007797E-3</v>
      </c>
      <c r="J20" s="199">
        <v>0.05</v>
      </c>
      <c r="K20" s="205">
        <v>5.5343542150340869E-4</v>
      </c>
      <c r="L20" s="199">
        <v>0</v>
      </c>
      <c r="M20" s="205">
        <v>4.1253008412677396E-3</v>
      </c>
      <c r="N20" s="199">
        <v>-0.03</v>
      </c>
      <c r="O20" s="205">
        <v>0.52700042396193347</v>
      </c>
      <c r="P20" s="199">
        <v>-0.93</v>
      </c>
      <c r="R20" s="8"/>
    </row>
    <row r="21" spans="1:18" ht="15" customHeight="1">
      <c r="A21" s="162"/>
      <c r="B21" s="169" t="s">
        <v>51</v>
      </c>
      <c r="C21" s="140">
        <v>0.29435831516660516</v>
      </c>
      <c r="D21" s="109">
        <v>-4.78</v>
      </c>
      <c r="E21" s="140">
        <v>1.7972215738431874E-2</v>
      </c>
      <c r="F21" s="109">
        <v>0.1</v>
      </c>
      <c r="G21" s="140">
        <v>9.2881173281953222E-2</v>
      </c>
      <c r="H21" s="109">
        <v>-3.34</v>
      </c>
      <c r="I21" s="140">
        <v>5.9169090547302129E-4</v>
      </c>
      <c r="J21" s="109">
        <v>0.01</v>
      </c>
      <c r="K21" s="140">
        <v>4.5879776092827855E-4</v>
      </c>
      <c r="L21" s="109">
        <v>0</v>
      </c>
      <c r="M21" s="140">
        <v>6.0023403619375469E-3</v>
      </c>
      <c r="N21" s="109">
        <v>0</v>
      </c>
      <c r="O21" s="140">
        <v>0.80252687785177157</v>
      </c>
      <c r="P21" s="109">
        <v>-6.63</v>
      </c>
      <c r="R21" s="8"/>
    </row>
    <row r="22" spans="1:18" ht="15" customHeight="1">
      <c r="A22" s="161"/>
      <c r="B22" s="172" t="s">
        <v>53</v>
      </c>
      <c r="C22" s="139">
        <v>0.26933842778925898</v>
      </c>
      <c r="D22" s="107">
        <v>3.12</v>
      </c>
      <c r="E22" s="139">
        <v>1.7141836275979001E-2</v>
      </c>
      <c r="F22" s="107">
        <v>0.24</v>
      </c>
      <c r="G22" s="139">
        <v>9.3137254034984199E-2</v>
      </c>
      <c r="H22" s="107">
        <v>1.3</v>
      </c>
      <c r="I22" s="139">
        <v>3.8991139379480666E-4</v>
      </c>
      <c r="J22" s="107">
        <v>0</v>
      </c>
      <c r="K22" s="139">
        <v>4.0417644478729962E-4</v>
      </c>
      <c r="L22" s="107">
        <v>0.01</v>
      </c>
      <c r="M22" s="139">
        <v>5.3921892751623264E-3</v>
      </c>
      <c r="N22" s="107">
        <v>0.06</v>
      </c>
      <c r="O22" s="139">
        <v>0.69508229237540209</v>
      </c>
      <c r="P22" s="107">
        <v>7.99</v>
      </c>
      <c r="R22" s="8"/>
    </row>
    <row r="23" spans="1:18" ht="15" customHeight="1">
      <c r="A23" s="162"/>
      <c r="B23" s="169" t="s">
        <v>50</v>
      </c>
      <c r="C23" s="140">
        <v>0.34262872378325698</v>
      </c>
      <c r="D23" s="109">
        <v>0.82</v>
      </c>
      <c r="E23" s="140">
        <v>1.5166905564065872E-2</v>
      </c>
      <c r="F23" s="109">
        <v>-0.12</v>
      </c>
      <c r="G23" s="140">
        <v>9.8605918387294628E-2</v>
      </c>
      <c r="H23" s="109">
        <v>-1.39</v>
      </c>
      <c r="I23" s="140">
        <v>8.0370928146101584E-4</v>
      </c>
      <c r="J23" s="109">
        <v>0</v>
      </c>
      <c r="K23" s="140">
        <v>7.6228096798364392E-4</v>
      </c>
      <c r="L23" s="109">
        <v>0.02</v>
      </c>
      <c r="M23" s="140">
        <v>4.1138315283030342E-3</v>
      </c>
      <c r="N23" s="109">
        <v>0.02</v>
      </c>
      <c r="O23" s="140">
        <v>0.77099053151937358</v>
      </c>
      <c r="P23" s="109">
        <v>8.94</v>
      </c>
      <c r="R23" s="8"/>
    </row>
    <row r="24" spans="1:18" ht="15" customHeight="1">
      <c r="A24" s="163" t="s">
        <v>55</v>
      </c>
      <c r="B24" s="187"/>
      <c r="C24" s="141">
        <v>0.17405155079050194</v>
      </c>
      <c r="D24" s="145">
        <v>-4.4400000000000004</v>
      </c>
      <c r="E24" s="141">
        <v>2.9967580560341417E-3</v>
      </c>
      <c r="F24" s="145">
        <v>-0.14000000000000001</v>
      </c>
      <c r="G24" s="141">
        <v>3.3224686381881245E-2</v>
      </c>
      <c r="H24" s="145">
        <v>-1.69</v>
      </c>
      <c r="I24" s="141">
        <v>5.7847922781711295E-4</v>
      </c>
      <c r="J24" s="145">
        <v>0.01</v>
      </c>
      <c r="K24" s="141">
        <v>3.8658796116972918E-4</v>
      </c>
      <c r="L24" s="145">
        <v>-0.01</v>
      </c>
      <c r="M24" s="141">
        <v>4.1382866583560777E-3</v>
      </c>
      <c r="N24" s="145">
        <v>-0.08</v>
      </c>
      <c r="O24" s="141">
        <v>0.58337902735152103</v>
      </c>
      <c r="P24" s="145">
        <v>-14.37</v>
      </c>
      <c r="R24" s="8"/>
    </row>
    <row r="25" spans="1:18" s="44" customFormat="1" ht="15" customHeight="1"/>
    <row r="26" spans="1:18">
      <c r="A26" s="44" t="s">
        <v>143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R26" s="40"/>
    </row>
    <row r="27" spans="1:18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R27" s="40"/>
    </row>
    <row r="28" spans="1:18">
      <c r="A28" s="40" t="s">
        <v>66</v>
      </c>
      <c r="B28" s="40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R28" s="40"/>
    </row>
    <row r="29" spans="1:18">
      <c r="A29" s="40" t="s">
        <v>67</v>
      </c>
      <c r="B29" s="40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R29" s="40"/>
    </row>
    <row r="30" spans="1:18">
      <c r="A30" s="40" t="s">
        <v>74</v>
      </c>
      <c r="B30" s="40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R30" s="40"/>
    </row>
    <row r="31" spans="1:18">
      <c r="A31" s="40" t="s">
        <v>68</v>
      </c>
      <c r="B31" s="40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R31" s="40"/>
    </row>
    <row r="32" spans="1:18">
      <c r="A32" s="40" t="s">
        <v>69</v>
      </c>
      <c r="B32" s="40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R32" s="40"/>
    </row>
    <row r="33" spans="1:18">
      <c r="A33" s="40" t="s">
        <v>70</v>
      </c>
      <c r="B33" s="40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R33" s="40"/>
    </row>
    <row r="34" spans="1:18">
      <c r="A34" s="40" t="s">
        <v>71</v>
      </c>
      <c r="B34" s="40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R34" s="40"/>
    </row>
    <row r="35" spans="1:18">
      <c r="A35" s="40" t="s">
        <v>72</v>
      </c>
      <c r="B35" s="40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R35" s="40"/>
    </row>
    <row r="36" spans="1:18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R36" s="40"/>
    </row>
  </sheetData>
  <mergeCells count="11">
    <mergeCell ref="A6:B6"/>
    <mergeCell ref="A1:P1"/>
    <mergeCell ref="A2:P2"/>
    <mergeCell ref="A4:B5"/>
    <mergeCell ref="C4:D4"/>
    <mergeCell ref="E4:F4"/>
    <mergeCell ref="G4:H4"/>
    <mergeCell ref="I4:J4"/>
    <mergeCell ref="K4:L4"/>
    <mergeCell ref="M4:N4"/>
    <mergeCell ref="O4:P4"/>
  </mergeCells>
  <hyperlinks>
    <hyperlink ref="R1" location="INDICE!Área_de_impresión" display="INDICE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P25"/>
  <sheetViews>
    <sheetView showGridLines="0" zoomScale="90" zoomScaleNormal="90" workbookViewId="0">
      <selection sqref="A1:N1"/>
    </sheetView>
  </sheetViews>
  <sheetFormatPr baseColWidth="10" defaultRowHeight="12.75"/>
  <cols>
    <col min="1" max="1" width="17" style="8" customWidth="1"/>
    <col min="2" max="12" width="13.7109375" style="8" customWidth="1"/>
    <col min="13" max="14" width="13.7109375" style="1" customWidth="1"/>
    <col min="15" max="15" width="1.7109375" style="2" customWidth="1"/>
    <col min="16" max="16" width="11.42578125" style="2"/>
    <col min="17" max="16384" width="11.42578125" style="8"/>
  </cols>
  <sheetData>
    <row r="1" spans="1:16" s="30" customFormat="1" ht="30" customHeight="1">
      <c r="A1" s="323" t="s">
        <v>54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5"/>
      <c r="O1" s="19"/>
      <c r="P1" s="31" t="s">
        <v>134</v>
      </c>
    </row>
    <row r="2" spans="1:16" s="19" customFormat="1" ht="30" customHeight="1">
      <c r="A2" s="326" t="s">
        <v>137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57"/>
      <c r="N2" s="58"/>
    </row>
    <row r="3" spans="1:16" ht="8.1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1"/>
      <c r="N3" s="41"/>
      <c r="O3" s="40"/>
      <c r="P3" s="40"/>
    </row>
    <row r="4" spans="1:16" ht="15" customHeight="1">
      <c r="A4" s="329" t="s">
        <v>289</v>
      </c>
      <c r="B4" s="311" t="s">
        <v>284</v>
      </c>
      <c r="C4" s="312"/>
      <c r="D4" s="312"/>
      <c r="E4" s="312"/>
      <c r="F4" s="312"/>
      <c r="G4" s="312"/>
      <c r="H4" s="312"/>
      <c r="I4" s="312"/>
      <c r="J4" s="312"/>
      <c r="K4" s="313"/>
      <c r="L4" s="317" t="s">
        <v>285</v>
      </c>
      <c r="M4" s="287" t="s">
        <v>146</v>
      </c>
      <c r="N4" s="288" t="s">
        <v>146</v>
      </c>
      <c r="O4" s="8"/>
      <c r="P4" s="8"/>
    </row>
    <row r="5" spans="1:16" ht="15" customHeight="1">
      <c r="A5" s="319"/>
      <c r="B5" s="314"/>
      <c r="C5" s="315"/>
      <c r="D5" s="315"/>
      <c r="E5" s="315"/>
      <c r="F5" s="315"/>
      <c r="G5" s="315"/>
      <c r="H5" s="315"/>
      <c r="I5" s="315"/>
      <c r="J5" s="315"/>
      <c r="K5" s="316"/>
      <c r="L5" s="318"/>
      <c r="M5" s="285" t="s">
        <v>286</v>
      </c>
      <c r="N5" s="295" t="s">
        <v>287</v>
      </c>
      <c r="O5" s="8"/>
      <c r="P5" s="8"/>
    </row>
    <row r="6" spans="1:16" ht="15" customHeight="1">
      <c r="A6" s="321"/>
      <c r="B6" s="298">
        <v>2015</v>
      </c>
      <c r="C6" s="80">
        <v>2016</v>
      </c>
      <c r="D6" s="79">
        <v>2017</v>
      </c>
      <c r="E6" s="80">
        <v>2018</v>
      </c>
      <c r="F6" s="79">
        <v>2019</v>
      </c>
      <c r="G6" s="80">
        <v>2020</v>
      </c>
      <c r="H6" s="79">
        <v>2021</v>
      </c>
      <c r="I6" s="80">
        <v>2022</v>
      </c>
      <c r="J6" s="79">
        <v>2023</v>
      </c>
      <c r="K6" s="80">
        <v>2024</v>
      </c>
      <c r="L6" s="289" t="s">
        <v>76</v>
      </c>
      <c r="M6" s="289" t="s">
        <v>76</v>
      </c>
      <c r="N6" s="290" t="s">
        <v>76</v>
      </c>
      <c r="O6" s="8"/>
      <c r="P6" s="8"/>
    </row>
    <row r="7" spans="1:16" ht="15" customHeight="1">
      <c r="A7" s="81" t="s">
        <v>0</v>
      </c>
      <c r="B7" s="104">
        <v>66872</v>
      </c>
      <c r="C7" s="104">
        <v>69988</v>
      </c>
      <c r="D7" s="104">
        <v>68320</v>
      </c>
      <c r="E7" s="104">
        <v>68736</v>
      </c>
      <c r="F7" s="104">
        <v>74237</v>
      </c>
      <c r="G7" s="104">
        <v>54257</v>
      </c>
      <c r="H7" s="104">
        <v>65867</v>
      </c>
      <c r="I7" s="104">
        <v>83572</v>
      </c>
      <c r="J7" s="104">
        <v>104051</v>
      </c>
      <c r="K7" s="104">
        <v>108775</v>
      </c>
      <c r="L7" s="123">
        <v>1</v>
      </c>
      <c r="M7" s="123">
        <v>4.5400813062824952E-2</v>
      </c>
      <c r="N7" s="124">
        <v>0.62661502572078009</v>
      </c>
      <c r="O7" s="8"/>
      <c r="P7" s="8"/>
    </row>
    <row r="8" spans="1:16" ht="15" customHeight="1">
      <c r="A8" s="132" t="s">
        <v>37</v>
      </c>
      <c r="B8" s="114">
        <v>45014</v>
      </c>
      <c r="C8" s="114">
        <v>44221</v>
      </c>
      <c r="D8" s="114">
        <v>42975</v>
      </c>
      <c r="E8" s="114">
        <v>39654</v>
      </c>
      <c r="F8" s="115">
        <v>41403</v>
      </c>
      <c r="G8" s="114">
        <v>29065</v>
      </c>
      <c r="H8" s="114">
        <v>37604</v>
      </c>
      <c r="I8" s="114">
        <v>42981</v>
      </c>
      <c r="J8" s="114">
        <v>51906</v>
      </c>
      <c r="K8" s="115">
        <v>57018</v>
      </c>
      <c r="L8" s="95">
        <v>0.52418294644909214</v>
      </c>
      <c r="M8" s="95">
        <v>9.8485724193734914E-2</v>
      </c>
      <c r="N8" s="95">
        <v>0.26667259074954464</v>
      </c>
      <c r="O8" s="8"/>
      <c r="P8" s="8"/>
    </row>
    <row r="9" spans="1:16" ht="15" customHeight="1">
      <c r="A9" s="133" t="s">
        <v>42</v>
      </c>
      <c r="B9" s="116">
        <v>2506</v>
      </c>
      <c r="C9" s="116">
        <v>2532</v>
      </c>
      <c r="D9" s="116">
        <v>2421</v>
      </c>
      <c r="E9" s="116">
        <v>2309</v>
      </c>
      <c r="F9" s="116">
        <v>2593</v>
      </c>
      <c r="G9" s="116">
        <v>1913</v>
      </c>
      <c r="H9" s="116">
        <v>2393</v>
      </c>
      <c r="I9" s="116">
        <v>2636</v>
      </c>
      <c r="J9" s="116">
        <v>3040</v>
      </c>
      <c r="K9" s="116">
        <v>3343</v>
      </c>
      <c r="L9" s="96">
        <v>3.0733164789703515E-2</v>
      </c>
      <c r="M9" s="96">
        <v>9.9671052631578938E-2</v>
      </c>
      <c r="N9" s="125">
        <v>0.33399840383080615</v>
      </c>
      <c r="O9" s="8"/>
      <c r="P9" s="8"/>
    </row>
    <row r="10" spans="1:16" ht="15" customHeight="1">
      <c r="A10" s="134" t="s">
        <v>38</v>
      </c>
      <c r="B10" s="118">
        <v>941</v>
      </c>
      <c r="C10" s="118">
        <v>865</v>
      </c>
      <c r="D10" s="118">
        <v>725</v>
      </c>
      <c r="E10" s="118">
        <v>543</v>
      </c>
      <c r="F10" s="118">
        <v>577</v>
      </c>
      <c r="G10" s="118">
        <v>645</v>
      </c>
      <c r="H10" s="118">
        <v>660</v>
      </c>
      <c r="I10" s="118">
        <v>536</v>
      </c>
      <c r="J10" s="118">
        <v>551</v>
      </c>
      <c r="K10" s="118">
        <v>508</v>
      </c>
      <c r="L10" s="97">
        <v>4.6701907607446568E-3</v>
      </c>
      <c r="M10" s="97">
        <v>-7.8039927404718656E-2</v>
      </c>
      <c r="N10" s="126">
        <v>-0.46014877789585551</v>
      </c>
      <c r="O10" s="8"/>
      <c r="P10" s="8"/>
    </row>
    <row r="11" spans="1:16" ht="15" customHeight="1">
      <c r="A11" s="133" t="s">
        <v>40</v>
      </c>
      <c r="B11" s="116">
        <v>233</v>
      </c>
      <c r="C11" s="116">
        <v>251</v>
      </c>
      <c r="D11" s="116">
        <v>246</v>
      </c>
      <c r="E11" s="116">
        <v>266</v>
      </c>
      <c r="F11" s="116">
        <v>296</v>
      </c>
      <c r="G11" s="116">
        <v>220</v>
      </c>
      <c r="H11" s="116">
        <v>246</v>
      </c>
      <c r="I11" s="116">
        <v>164</v>
      </c>
      <c r="J11" s="116">
        <v>166</v>
      </c>
      <c r="K11" s="116">
        <v>217</v>
      </c>
      <c r="L11" s="96">
        <v>1.994943691105493E-3</v>
      </c>
      <c r="M11" s="96">
        <v>0.30722891566265065</v>
      </c>
      <c r="N11" s="125">
        <v>-6.8669527896995763E-2</v>
      </c>
      <c r="O11" s="8"/>
      <c r="P11" s="8"/>
    </row>
    <row r="12" spans="1:16" ht="15" customHeight="1">
      <c r="A12" s="134" t="s">
        <v>41</v>
      </c>
      <c r="B12" s="118">
        <v>708</v>
      </c>
      <c r="C12" s="118">
        <v>748</v>
      </c>
      <c r="D12" s="118">
        <v>802</v>
      </c>
      <c r="E12" s="118">
        <v>720</v>
      </c>
      <c r="F12" s="118">
        <v>699</v>
      </c>
      <c r="G12" s="118">
        <v>407</v>
      </c>
      <c r="H12" s="118">
        <v>497</v>
      </c>
      <c r="I12" s="118">
        <v>378</v>
      </c>
      <c r="J12" s="118">
        <v>365</v>
      </c>
      <c r="K12" s="118">
        <v>334</v>
      </c>
      <c r="L12" s="97">
        <v>3.0705584923006205E-3</v>
      </c>
      <c r="M12" s="97">
        <v>-8.4931506849315053E-2</v>
      </c>
      <c r="N12" s="126">
        <v>-0.52824858757062154</v>
      </c>
      <c r="O12" s="8"/>
      <c r="P12" s="8"/>
    </row>
    <row r="13" spans="1:16" ht="15" customHeight="1">
      <c r="A13" s="133" t="s">
        <v>39</v>
      </c>
      <c r="B13" s="116">
        <v>17120</v>
      </c>
      <c r="C13" s="116">
        <v>21029</v>
      </c>
      <c r="D13" s="116">
        <v>20858</v>
      </c>
      <c r="E13" s="116">
        <v>24961</v>
      </c>
      <c r="F13" s="116">
        <v>28378</v>
      </c>
      <c r="G13" s="116">
        <v>21800</v>
      </c>
      <c r="H13" s="116">
        <v>24277</v>
      </c>
      <c r="I13" s="116">
        <v>36678</v>
      </c>
      <c r="J13" s="116">
        <v>47829</v>
      </c>
      <c r="K13" s="116">
        <v>47168</v>
      </c>
      <c r="L13" s="96">
        <v>0.43362905079292119</v>
      </c>
      <c r="M13" s="96">
        <v>-1.3820067323172092E-2</v>
      </c>
      <c r="N13" s="125">
        <v>1.755140186915888</v>
      </c>
      <c r="O13" s="8"/>
      <c r="P13" s="8"/>
    </row>
    <row r="14" spans="1:16" ht="15" customHeight="1">
      <c r="A14" s="134" t="s">
        <v>48</v>
      </c>
      <c r="B14" s="118">
        <v>272</v>
      </c>
      <c r="C14" s="118">
        <v>253</v>
      </c>
      <c r="D14" s="118">
        <v>197</v>
      </c>
      <c r="E14" s="118">
        <v>187</v>
      </c>
      <c r="F14" s="118">
        <v>192</v>
      </c>
      <c r="G14" s="118">
        <v>157</v>
      </c>
      <c r="H14" s="118">
        <v>132</v>
      </c>
      <c r="I14" s="118">
        <v>122</v>
      </c>
      <c r="J14" s="118">
        <v>124</v>
      </c>
      <c r="K14" s="118">
        <v>117</v>
      </c>
      <c r="L14" s="97">
        <v>1.0756148011951275E-3</v>
      </c>
      <c r="M14" s="97">
        <v>-5.6451612903225756E-2</v>
      </c>
      <c r="N14" s="126">
        <v>-0.56985294117647056</v>
      </c>
      <c r="O14" s="8"/>
      <c r="P14" s="8"/>
    </row>
    <row r="15" spans="1:16" ht="15" customHeight="1">
      <c r="A15" s="135" t="s">
        <v>1</v>
      </c>
      <c r="B15" s="129">
        <v>78</v>
      </c>
      <c r="C15" s="129">
        <v>89</v>
      </c>
      <c r="D15" s="129">
        <v>96</v>
      </c>
      <c r="E15" s="129">
        <v>96</v>
      </c>
      <c r="F15" s="129">
        <v>99</v>
      </c>
      <c r="G15" s="129">
        <v>50</v>
      </c>
      <c r="H15" s="129">
        <v>58</v>
      </c>
      <c r="I15" s="129">
        <v>77</v>
      </c>
      <c r="J15" s="129">
        <v>70</v>
      </c>
      <c r="K15" s="129">
        <v>70</v>
      </c>
      <c r="L15" s="130">
        <v>6.435302229372558E-4</v>
      </c>
      <c r="M15" s="130">
        <v>0</v>
      </c>
      <c r="N15" s="131">
        <v>-0.10256410256410253</v>
      </c>
      <c r="O15" s="8"/>
      <c r="P15" s="8"/>
    </row>
    <row r="16" spans="1: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1"/>
      <c r="N16" s="41"/>
      <c r="O16" s="40"/>
      <c r="P16" s="40"/>
    </row>
    <row r="17" spans="1:16">
      <c r="A17" s="38" t="s">
        <v>37</v>
      </c>
      <c r="B17" s="39" t="s">
        <v>52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1"/>
      <c r="N17" s="41"/>
      <c r="O17" s="40"/>
      <c r="P17" s="40"/>
    </row>
    <row r="18" spans="1:16">
      <c r="A18" s="38" t="s">
        <v>42</v>
      </c>
      <c r="B18" s="39" t="s">
        <v>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1"/>
      <c r="N18" s="41"/>
      <c r="O18" s="40"/>
      <c r="P18" s="40"/>
    </row>
    <row r="19" spans="1:16">
      <c r="A19" s="38" t="s">
        <v>38</v>
      </c>
      <c r="B19" s="39" t="s">
        <v>44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1"/>
      <c r="N19" s="41"/>
      <c r="O19" s="40"/>
      <c r="P19" s="40"/>
    </row>
    <row r="20" spans="1:16">
      <c r="A20" s="38" t="s">
        <v>48</v>
      </c>
      <c r="B20" s="39" t="s">
        <v>49</v>
      </c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1"/>
      <c r="N20" s="41"/>
      <c r="O20" s="40"/>
      <c r="P20" s="40"/>
    </row>
    <row r="21" spans="1:16">
      <c r="A21" s="38" t="s">
        <v>1</v>
      </c>
      <c r="B21" s="39" t="s">
        <v>46</v>
      </c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1"/>
      <c r="N21" s="41"/>
      <c r="O21" s="40"/>
      <c r="P21" s="40"/>
    </row>
    <row r="22" spans="1:16">
      <c r="A22" s="42"/>
      <c r="B22" s="39" t="s">
        <v>45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1"/>
      <c r="N22" s="41"/>
      <c r="O22" s="40"/>
      <c r="P22" s="40"/>
    </row>
    <row r="23" spans="1:16">
      <c r="A23" s="38"/>
      <c r="B23" s="39" t="s">
        <v>47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1"/>
      <c r="N23" s="41"/>
      <c r="O23" s="40"/>
      <c r="P23" s="40"/>
    </row>
    <row r="24" spans="1:16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1"/>
      <c r="N24" s="41"/>
      <c r="O24" s="40"/>
      <c r="P24" s="40"/>
    </row>
    <row r="25" spans="1:16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1"/>
      <c r="N25" s="41"/>
      <c r="O25" s="40"/>
      <c r="P25" s="40"/>
    </row>
  </sheetData>
  <mergeCells count="5">
    <mergeCell ref="A1:N1"/>
    <mergeCell ref="A2:L2"/>
    <mergeCell ref="A4:A6"/>
    <mergeCell ref="B4:K5"/>
    <mergeCell ref="L4:L5"/>
  </mergeCells>
  <hyperlinks>
    <hyperlink ref="P1" location="INDICE!Área_de_impresión" display="INDICE"/>
  </hyperlink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P25"/>
  <sheetViews>
    <sheetView showGridLines="0" zoomScale="90" zoomScaleNormal="90" workbookViewId="0">
      <selection sqref="A1:N1"/>
    </sheetView>
  </sheetViews>
  <sheetFormatPr baseColWidth="10" defaultRowHeight="12.75"/>
  <cols>
    <col min="1" max="1" width="17.28515625" style="8" bestFit="1" customWidth="1"/>
    <col min="2" max="12" width="13.7109375" style="8" customWidth="1"/>
    <col min="13" max="14" width="13.7109375" style="1" customWidth="1"/>
    <col min="15" max="15" width="1.7109375" style="2" customWidth="1"/>
    <col min="16" max="16" width="11.42578125" style="2"/>
    <col min="17" max="16384" width="11.42578125" style="8"/>
  </cols>
  <sheetData>
    <row r="1" spans="1:16" s="30" customFormat="1" ht="30" customHeight="1">
      <c r="A1" s="323" t="s">
        <v>54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5"/>
      <c r="P1" s="31" t="s">
        <v>134</v>
      </c>
    </row>
    <row r="2" spans="1:16" s="19" customFormat="1" ht="30" customHeight="1">
      <c r="A2" s="328" t="s">
        <v>138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60"/>
      <c r="N2" s="66"/>
    </row>
    <row r="3" spans="1:16" ht="8.1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1"/>
      <c r="N3" s="41"/>
    </row>
    <row r="4" spans="1:16" ht="15" customHeight="1">
      <c r="A4" s="329" t="s">
        <v>289</v>
      </c>
      <c r="B4" s="311" t="s">
        <v>284</v>
      </c>
      <c r="C4" s="312"/>
      <c r="D4" s="312"/>
      <c r="E4" s="312"/>
      <c r="F4" s="312"/>
      <c r="G4" s="312"/>
      <c r="H4" s="312"/>
      <c r="I4" s="312"/>
      <c r="J4" s="312"/>
      <c r="K4" s="313"/>
      <c r="L4" s="317" t="s">
        <v>285</v>
      </c>
      <c r="M4" s="287" t="s">
        <v>146</v>
      </c>
      <c r="N4" s="288" t="s">
        <v>146</v>
      </c>
      <c r="O4" s="8"/>
      <c r="P4" s="8"/>
    </row>
    <row r="5" spans="1:16" ht="15" customHeight="1">
      <c r="A5" s="319"/>
      <c r="B5" s="314"/>
      <c r="C5" s="315"/>
      <c r="D5" s="315"/>
      <c r="E5" s="315"/>
      <c r="F5" s="315"/>
      <c r="G5" s="315"/>
      <c r="H5" s="315"/>
      <c r="I5" s="315"/>
      <c r="J5" s="315"/>
      <c r="K5" s="316"/>
      <c r="L5" s="318"/>
      <c r="M5" s="285" t="s">
        <v>286</v>
      </c>
      <c r="N5" s="295" t="s">
        <v>287</v>
      </c>
      <c r="O5" s="8"/>
      <c r="P5" s="8"/>
    </row>
    <row r="6" spans="1:16" ht="15" customHeight="1">
      <c r="A6" s="321"/>
      <c r="B6" s="298">
        <v>2015</v>
      </c>
      <c r="C6" s="80">
        <v>2016</v>
      </c>
      <c r="D6" s="79">
        <v>2017</v>
      </c>
      <c r="E6" s="80">
        <v>2018</v>
      </c>
      <c r="F6" s="79">
        <v>2019</v>
      </c>
      <c r="G6" s="80">
        <v>2020</v>
      </c>
      <c r="H6" s="79">
        <v>2021</v>
      </c>
      <c r="I6" s="80">
        <v>2022</v>
      </c>
      <c r="J6" s="79">
        <v>2023</v>
      </c>
      <c r="K6" s="80">
        <v>2024</v>
      </c>
      <c r="L6" s="289" t="s">
        <v>76</v>
      </c>
      <c r="M6" s="289" t="s">
        <v>76</v>
      </c>
      <c r="N6" s="290" t="s">
        <v>76</v>
      </c>
      <c r="O6" s="8"/>
      <c r="P6" s="8"/>
    </row>
    <row r="7" spans="1:16" ht="15" customHeight="1">
      <c r="A7" s="81" t="s">
        <v>0</v>
      </c>
      <c r="B7" s="104">
        <v>7580419.7205131305</v>
      </c>
      <c r="C7" s="104">
        <v>7851196.5059911003</v>
      </c>
      <c r="D7" s="104">
        <v>8335592.4451531097</v>
      </c>
      <c r="E7" s="104">
        <v>9076953.8015136588</v>
      </c>
      <c r="F7" s="104">
        <v>9282478.2635676991</v>
      </c>
      <c r="G7" s="104">
        <v>9203307.4293194134</v>
      </c>
      <c r="H7" s="104">
        <v>9583139.0389287453</v>
      </c>
      <c r="I7" s="104">
        <v>9738817.1653386001</v>
      </c>
      <c r="J7" s="104">
        <v>10044845.784919251</v>
      </c>
      <c r="K7" s="104">
        <v>9636506.334665304</v>
      </c>
      <c r="L7" s="123">
        <v>1</v>
      </c>
      <c r="M7" s="123">
        <v>-4.0651639556975927E-2</v>
      </c>
      <c r="N7" s="124">
        <v>0.27123651327488685</v>
      </c>
      <c r="O7" s="8"/>
      <c r="P7" s="8"/>
    </row>
    <row r="8" spans="1:16" ht="15" customHeight="1">
      <c r="A8" s="132" t="s">
        <v>37</v>
      </c>
      <c r="B8" s="114">
        <v>6313946.5115431603</v>
      </c>
      <c r="C8" s="114">
        <v>6462828.2889883602</v>
      </c>
      <c r="D8" s="114">
        <v>6810633.7282914603</v>
      </c>
      <c r="E8" s="114">
        <v>7350312.0515220696</v>
      </c>
      <c r="F8" s="115">
        <v>7511947.1657643402</v>
      </c>
      <c r="G8" s="114">
        <v>7417409.7769734198</v>
      </c>
      <c r="H8" s="114">
        <v>7639717.3514863001</v>
      </c>
      <c r="I8" s="114">
        <v>7619569.0504168207</v>
      </c>
      <c r="J8" s="114">
        <v>7770306.8772398401</v>
      </c>
      <c r="K8" s="115">
        <v>7397924.5063098799</v>
      </c>
      <c r="L8" s="95">
        <v>0.76769777857120303</v>
      </c>
      <c r="M8" s="95">
        <v>-4.7923766308472726E-2</v>
      </c>
      <c r="N8" s="95">
        <v>0.17167994578113555</v>
      </c>
      <c r="O8" s="8"/>
      <c r="P8" s="8"/>
    </row>
    <row r="9" spans="1:16" ht="15" customHeight="1">
      <c r="A9" s="133" t="s">
        <v>42</v>
      </c>
      <c r="B9" s="116">
        <v>519040.41686427401</v>
      </c>
      <c r="C9" s="116">
        <v>556239.513550448</v>
      </c>
      <c r="D9" s="116">
        <v>600282.53728064604</v>
      </c>
      <c r="E9" s="116">
        <v>671159.61262947298</v>
      </c>
      <c r="F9" s="116">
        <v>704803.37894690095</v>
      </c>
      <c r="G9" s="116">
        <v>693850.01186155097</v>
      </c>
      <c r="H9" s="116">
        <v>737858.1838292079</v>
      </c>
      <c r="I9" s="116">
        <v>766580.76382154599</v>
      </c>
      <c r="J9" s="116">
        <v>783609.34030335315</v>
      </c>
      <c r="K9" s="116">
        <v>799623.16102322203</v>
      </c>
      <c r="L9" s="96">
        <v>8.2978533220773795E-2</v>
      </c>
      <c r="M9" s="96">
        <v>2.0435974785177446E-2</v>
      </c>
      <c r="N9" s="125">
        <v>0.54057976034709987</v>
      </c>
      <c r="O9" s="8"/>
      <c r="P9" s="8"/>
    </row>
    <row r="10" spans="1:16" ht="15" customHeight="1">
      <c r="A10" s="134" t="s">
        <v>38</v>
      </c>
      <c r="B10" s="118">
        <v>188063.12339754601</v>
      </c>
      <c r="C10" s="118">
        <v>188362.52331168301</v>
      </c>
      <c r="D10" s="118">
        <v>198079.33384097199</v>
      </c>
      <c r="E10" s="118">
        <v>203522.26619391501</v>
      </c>
      <c r="F10" s="118">
        <v>204168.90523341901</v>
      </c>
      <c r="G10" s="118">
        <v>198650.649712685</v>
      </c>
      <c r="H10" s="118">
        <v>197710.788155421</v>
      </c>
      <c r="I10" s="118">
        <v>206643.33114408699</v>
      </c>
      <c r="J10" s="118">
        <v>218177.68629565299</v>
      </c>
      <c r="K10" s="118">
        <v>210163.63792191399</v>
      </c>
      <c r="L10" s="97">
        <v>2.1809111167798906E-2</v>
      </c>
      <c r="M10" s="97">
        <v>-3.673175066527723E-2</v>
      </c>
      <c r="N10" s="126">
        <v>0.11751647066740345</v>
      </c>
      <c r="O10" s="8"/>
      <c r="P10" s="8"/>
    </row>
    <row r="11" spans="1:16" ht="15" customHeight="1">
      <c r="A11" s="133" t="s">
        <v>40</v>
      </c>
      <c r="B11" s="116">
        <v>52630.752753803201</v>
      </c>
      <c r="C11" s="116">
        <v>53740.007952875203</v>
      </c>
      <c r="D11" s="116">
        <v>51706.328808378399</v>
      </c>
      <c r="E11" s="116">
        <v>60996.305391207003</v>
      </c>
      <c r="F11" s="116">
        <v>58560.6289048873</v>
      </c>
      <c r="G11" s="116">
        <v>49255.4623889551</v>
      </c>
      <c r="H11" s="116">
        <v>43487.978372537305</v>
      </c>
      <c r="I11" s="116">
        <v>34388.618338114</v>
      </c>
      <c r="J11" s="116">
        <v>25725.131230036801</v>
      </c>
      <c r="K11" s="116">
        <v>23514.3917560765</v>
      </c>
      <c r="L11" s="96">
        <v>2.4401365950944714E-3</v>
      </c>
      <c r="M11" s="96">
        <v>-8.593695613023844E-2</v>
      </c>
      <c r="N11" s="125">
        <v>-0.55321954321891575</v>
      </c>
      <c r="O11" s="8"/>
      <c r="P11" s="8"/>
    </row>
    <row r="12" spans="1:16" ht="15" customHeight="1">
      <c r="A12" s="134" t="s">
        <v>41</v>
      </c>
      <c r="B12" s="118">
        <v>46558.619958912001</v>
      </c>
      <c r="C12" s="118">
        <v>49904.960805383002</v>
      </c>
      <c r="D12" s="118">
        <v>48294.540361913801</v>
      </c>
      <c r="E12" s="118">
        <v>43003.330373949997</v>
      </c>
      <c r="F12" s="118">
        <v>39089.640693875503</v>
      </c>
      <c r="G12" s="118">
        <v>34160.217919156697</v>
      </c>
      <c r="H12" s="118">
        <v>35999.084890727398</v>
      </c>
      <c r="I12" s="118">
        <v>25244.024241663301</v>
      </c>
      <c r="J12" s="118">
        <v>35914.230544220802</v>
      </c>
      <c r="K12" s="118">
        <v>17582.704490807599</v>
      </c>
      <c r="L12" s="97">
        <v>1.8245932581974775E-3</v>
      </c>
      <c r="M12" s="97">
        <v>-0.51042513721244265</v>
      </c>
      <c r="N12" s="126">
        <v>-0.62235340080259371</v>
      </c>
      <c r="O12" s="8"/>
      <c r="P12" s="8"/>
    </row>
    <row r="13" spans="1:16" ht="15" customHeight="1">
      <c r="A13" s="133" t="s">
        <v>39</v>
      </c>
      <c r="B13" s="116">
        <v>316425.44292779604</v>
      </c>
      <c r="C13" s="116">
        <v>398847.41796430608</v>
      </c>
      <c r="D13" s="116">
        <v>481121.33497344406</v>
      </c>
      <c r="E13" s="116">
        <v>601410.99559743097</v>
      </c>
      <c r="F13" s="116">
        <v>617721.13760606095</v>
      </c>
      <c r="G13" s="116">
        <v>659971.57799360098</v>
      </c>
      <c r="H13" s="116">
        <v>776682.561843334</v>
      </c>
      <c r="I13" s="116">
        <v>925957.03328249999</v>
      </c>
      <c r="J13" s="116">
        <v>1014662.00349187</v>
      </c>
      <c r="K13" s="116">
        <v>986112.46732461103</v>
      </c>
      <c r="L13" s="96">
        <v>0.10233091050615294</v>
      </c>
      <c r="M13" s="96">
        <v>-2.8136991499640551E-2</v>
      </c>
      <c r="N13" s="125">
        <v>2.1164133269448513</v>
      </c>
      <c r="O13" s="8"/>
      <c r="P13" s="8"/>
    </row>
    <row r="14" spans="1:16" ht="15" customHeight="1">
      <c r="A14" s="134" t="s">
        <v>48</v>
      </c>
      <c r="B14" s="118">
        <v>113766.52413735499</v>
      </c>
      <c r="C14" s="118">
        <v>111263.772027756</v>
      </c>
      <c r="D14" s="118">
        <v>115452.500233356</v>
      </c>
      <c r="E14" s="118">
        <v>115468.18894410101</v>
      </c>
      <c r="F14" s="118">
        <v>114277.00904390099</v>
      </c>
      <c r="G14" s="118">
        <v>114198.051920735</v>
      </c>
      <c r="H14" s="118">
        <v>121436.91892004</v>
      </c>
      <c r="I14" s="118">
        <v>128662.326033312</v>
      </c>
      <c r="J14" s="118">
        <v>150572.634241222</v>
      </c>
      <c r="K14" s="118">
        <v>155081.055749914</v>
      </c>
      <c r="L14" s="97">
        <v>1.6093078794753916E-2</v>
      </c>
      <c r="M14" s="97">
        <v>2.9941838577847824E-2</v>
      </c>
      <c r="N14" s="126">
        <v>0.3631519194756998</v>
      </c>
      <c r="O14" s="8"/>
      <c r="P14" s="8"/>
    </row>
    <row r="15" spans="1:16" ht="15" customHeight="1">
      <c r="A15" s="135" t="s">
        <v>1</v>
      </c>
      <c r="B15" s="129">
        <v>29988.328930282703</v>
      </c>
      <c r="C15" s="129">
        <v>30010.021390289501</v>
      </c>
      <c r="D15" s="129">
        <v>30022.141362939099</v>
      </c>
      <c r="E15" s="129">
        <v>31081.050861510499</v>
      </c>
      <c r="F15" s="129">
        <v>31910.397374317501</v>
      </c>
      <c r="G15" s="129">
        <v>35811.680549310098</v>
      </c>
      <c r="H15" s="129">
        <v>30246.171431178896</v>
      </c>
      <c r="I15" s="129">
        <v>31772.018060558101</v>
      </c>
      <c r="J15" s="129">
        <v>45877.881573054903</v>
      </c>
      <c r="K15" s="129">
        <v>46504.410088879602</v>
      </c>
      <c r="L15" s="130">
        <v>4.825857886025537E-3</v>
      </c>
      <c r="M15" s="130">
        <v>1.3656439537798493E-2</v>
      </c>
      <c r="N15" s="131">
        <v>0.55075030012488257</v>
      </c>
      <c r="O15" s="8"/>
      <c r="P15" s="8"/>
    </row>
    <row r="16" spans="1: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1"/>
      <c r="N16" s="41"/>
    </row>
    <row r="17" spans="1:14">
      <c r="A17" s="38" t="s">
        <v>37</v>
      </c>
      <c r="B17" s="39" t="s">
        <v>52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1"/>
      <c r="N17" s="41"/>
    </row>
    <row r="18" spans="1:14">
      <c r="A18" s="38" t="s">
        <v>42</v>
      </c>
      <c r="B18" s="39" t="s">
        <v>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1"/>
      <c r="N18" s="41"/>
    </row>
    <row r="19" spans="1:14">
      <c r="A19" s="38" t="s">
        <v>38</v>
      </c>
      <c r="B19" s="39" t="s">
        <v>44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1"/>
      <c r="N19" s="41"/>
    </row>
    <row r="20" spans="1:14">
      <c r="A20" s="38" t="s">
        <v>48</v>
      </c>
      <c r="B20" s="39" t="s">
        <v>49</v>
      </c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1"/>
      <c r="N20" s="41"/>
    </row>
    <row r="21" spans="1:14">
      <c r="A21" s="38" t="s">
        <v>1</v>
      </c>
      <c r="B21" s="39" t="s">
        <v>46</v>
      </c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1"/>
      <c r="N21" s="41"/>
    </row>
    <row r="22" spans="1:14">
      <c r="A22" s="42"/>
      <c r="B22" s="39" t="s">
        <v>45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1"/>
      <c r="N22" s="41"/>
    </row>
    <row r="23" spans="1:14">
      <c r="A23" s="38"/>
      <c r="B23" s="39" t="s">
        <v>47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1"/>
      <c r="N23" s="41"/>
    </row>
    <row r="24" spans="1:14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1"/>
      <c r="N24" s="41"/>
    </row>
    <row r="25" spans="1:14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1"/>
      <c r="N25" s="41"/>
    </row>
  </sheetData>
  <mergeCells count="5">
    <mergeCell ref="A1:N1"/>
    <mergeCell ref="A2:L2"/>
    <mergeCell ref="A4:A6"/>
    <mergeCell ref="B4:K5"/>
    <mergeCell ref="L4:L5"/>
  </mergeCells>
  <hyperlinks>
    <hyperlink ref="P1" location="INDICE!Área_de_impresión" display="INDICE"/>
  </hyperlink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A1:Q33"/>
  <sheetViews>
    <sheetView showGridLines="0" zoomScale="90" zoomScaleNormal="90" workbookViewId="0">
      <selection sqref="A1:L1"/>
    </sheetView>
  </sheetViews>
  <sheetFormatPr baseColWidth="10" defaultRowHeight="12.75"/>
  <cols>
    <col min="1" max="1" width="19" style="8" customWidth="1"/>
    <col min="2" max="11" width="13.7109375" style="8" customWidth="1"/>
    <col min="12" max="12" width="13.7109375" style="9" customWidth="1"/>
    <col min="13" max="13" width="1.7109375" style="2" customWidth="1"/>
    <col min="14" max="14" width="11.42578125" style="2"/>
    <col min="15" max="16384" width="11.42578125" style="8"/>
  </cols>
  <sheetData>
    <row r="1" spans="1:17" s="30" customFormat="1" ht="30" customHeight="1">
      <c r="A1" s="323" t="s">
        <v>54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19"/>
      <c r="N1" s="31" t="s">
        <v>134</v>
      </c>
      <c r="O1" s="19"/>
      <c r="P1" s="19"/>
      <c r="Q1" s="19"/>
    </row>
    <row r="2" spans="1:17" s="19" customFormat="1" ht="30" customHeight="1">
      <c r="A2" s="328" t="s">
        <v>139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</row>
    <row r="3" spans="1:17" ht="8.1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50"/>
      <c r="M3" s="40"/>
      <c r="N3" s="40"/>
      <c r="O3" s="44"/>
      <c r="P3" s="44"/>
    </row>
    <row r="4" spans="1:17" ht="20.100000000000001" customHeight="1">
      <c r="A4" s="339" t="s">
        <v>289</v>
      </c>
      <c r="B4" s="334" t="s">
        <v>284</v>
      </c>
      <c r="C4" s="334"/>
      <c r="D4" s="334"/>
      <c r="E4" s="334"/>
      <c r="F4" s="334"/>
      <c r="G4" s="334"/>
      <c r="H4" s="334"/>
      <c r="I4" s="334"/>
      <c r="J4" s="334"/>
      <c r="K4" s="335"/>
      <c r="L4" s="355" t="s">
        <v>156</v>
      </c>
      <c r="M4" s="8"/>
      <c r="N4" s="8"/>
    </row>
    <row r="5" spans="1:17" ht="15" customHeight="1">
      <c r="A5" s="340"/>
      <c r="B5" s="79">
        <v>2015</v>
      </c>
      <c r="C5" s="80">
        <v>2016</v>
      </c>
      <c r="D5" s="79">
        <v>2017</v>
      </c>
      <c r="E5" s="80">
        <v>2018</v>
      </c>
      <c r="F5" s="79">
        <v>2019</v>
      </c>
      <c r="G5" s="80">
        <v>2020</v>
      </c>
      <c r="H5" s="79">
        <v>2021</v>
      </c>
      <c r="I5" s="80">
        <v>2022</v>
      </c>
      <c r="J5" s="79">
        <v>2023</v>
      </c>
      <c r="K5" s="80">
        <v>2024</v>
      </c>
      <c r="L5" s="356"/>
      <c r="M5" s="8"/>
      <c r="N5" s="8"/>
    </row>
    <row r="6" spans="1:17" ht="15" customHeight="1">
      <c r="A6" s="81" t="s">
        <v>0</v>
      </c>
      <c r="B6" s="144">
        <v>8.8216751137196042E-3</v>
      </c>
      <c r="C6" s="144">
        <v>8.9143100604593805E-3</v>
      </c>
      <c r="D6" s="144">
        <v>8.1961780700693897E-3</v>
      </c>
      <c r="E6" s="144">
        <v>7.5725845369553043E-3</v>
      </c>
      <c r="F6" s="144">
        <v>7.9975409467285073E-3</v>
      </c>
      <c r="G6" s="144">
        <v>5.8953805918892698E-3</v>
      </c>
      <c r="H6" s="144">
        <v>6.8732176098493681E-3</v>
      </c>
      <c r="I6" s="144">
        <v>8.5813295989826052E-3</v>
      </c>
      <c r="J6" s="144">
        <v>1.0358645839661982E-2</v>
      </c>
      <c r="K6" s="144">
        <v>1.1287804544755481E-2</v>
      </c>
      <c r="L6" s="103">
        <v>0.09</v>
      </c>
      <c r="M6" s="8"/>
      <c r="N6" s="8"/>
    </row>
    <row r="7" spans="1:17" ht="15" customHeight="1">
      <c r="A7" s="132" t="s">
        <v>37</v>
      </c>
      <c r="B7" s="138">
        <v>7.1292970122102525E-3</v>
      </c>
      <c r="C7" s="138">
        <v>6.8423603448269869E-3</v>
      </c>
      <c r="D7" s="138">
        <v>6.3099854895266637E-3</v>
      </c>
      <c r="E7" s="138">
        <v>5.3948729961456028E-3</v>
      </c>
      <c r="F7" s="138">
        <v>5.5116202345903012E-3</v>
      </c>
      <c r="G7" s="138">
        <v>3.9184837933896113E-3</v>
      </c>
      <c r="H7" s="138">
        <v>4.9221716288606115E-3</v>
      </c>
      <c r="I7" s="138">
        <v>5.6408702008742566E-3</v>
      </c>
      <c r="J7" s="138">
        <v>6.680045050992631E-3</v>
      </c>
      <c r="K7" s="138">
        <v>7.7072968170150804E-3</v>
      </c>
      <c r="L7" s="106">
        <v>0.1</v>
      </c>
      <c r="M7" s="8"/>
      <c r="N7" s="8"/>
    </row>
    <row r="8" spans="1:17" ht="15" customHeight="1">
      <c r="A8" s="133" t="s">
        <v>42</v>
      </c>
      <c r="B8" s="139">
        <v>4.8281403886420351E-3</v>
      </c>
      <c r="C8" s="139">
        <v>4.5519959267876801E-3</v>
      </c>
      <c r="D8" s="139">
        <v>4.0331008310976841E-3</v>
      </c>
      <c r="E8" s="139">
        <v>3.4403142807621968E-3</v>
      </c>
      <c r="F8" s="139">
        <v>3.6790402507354517E-3</v>
      </c>
      <c r="G8" s="139">
        <v>2.7570800133987963E-3</v>
      </c>
      <c r="H8" s="139">
        <v>3.2431706423329551E-3</v>
      </c>
      <c r="I8" s="139">
        <v>3.4386461602024234E-3</v>
      </c>
      <c r="J8" s="139">
        <v>3.8794841302212482E-3</v>
      </c>
      <c r="K8" s="139">
        <v>4.1807193224896039E-3</v>
      </c>
      <c r="L8" s="107">
        <v>0.03</v>
      </c>
      <c r="M8" s="8"/>
      <c r="N8" s="8"/>
    </row>
    <row r="9" spans="1:17" ht="15" customHeight="1">
      <c r="A9" s="134" t="s">
        <v>38</v>
      </c>
      <c r="B9" s="140">
        <v>5.0036391132929512E-3</v>
      </c>
      <c r="C9" s="140">
        <v>4.5922086028157873E-3</v>
      </c>
      <c r="D9" s="140">
        <v>3.6601496276338769E-3</v>
      </c>
      <c r="E9" s="140">
        <v>2.6680127445251238E-3</v>
      </c>
      <c r="F9" s="140">
        <v>2.8260914625581036E-3</v>
      </c>
      <c r="G9" s="140">
        <v>3.2469060681799169E-3</v>
      </c>
      <c r="H9" s="140">
        <v>3.3382093418249498E-3</v>
      </c>
      <c r="I9" s="140">
        <v>2.5938412676200094E-3</v>
      </c>
      <c r="J9" s="140">
        <v>2.5254644934374218E-3</v>
      </c>
      <c r="K9" s="140">
        <v>2.4171640966204949E-3</v>
      </c>
      <c r="L9" s="109">
        <v>-0.01</v>
      </c>
      <c r="M9" s="8"/>
      <c r="N9" s="8"/>
    </row>
    <row r="10" spans="1:17" ht="15" customHeight="1">
      <c r="A10" s="133" t="s">
        <v>40</v>
      </c>
      <c r="B10" s="139">
        <v>4.4270694947102568E-3</v>
      </c>
      <c r="C10" s="139">
        <v>4.6706357062712527E-3</v>
      </c>
      <c r="D10" s="139">
        <v>4.7576381009695398E-3</v>
      </c>
      <c r="E10" s="139">
        <v>4.3609198670965009E-3</v>
      </c>
      <c r="F10" s="139">
        <v>5.0545905249883118E-3</v>
      </c>
      <c r="G10" s="139">
        <v>4.4665096890722147E-3</v>
      </c>
      <c r="H10" s="139">
        <v>5.6567357050414007E-3</v>
      </c>
      <c r="I10" s="139">
        <v>4.7690197491369862E-3</v>
      </c>
      <c r="J10" s="139">
        <v>6.4528339434155157E-3</v>
      </c>
      <c r="K10" s="139">
        <v>9.2283909467453552E-3</v>
      </c>
      <c r="L10" s="107">
        <v>0.27</v>
      </c>
      <c r="M10" s="8"/>
      <c r="N10" s="8"/>
    </row>
    <row r="11" spans="1:17" ht="15" customHeight="1">
      <c r="A11" s="134" t="s">
        <v>41</v>
      </c>
      <c r="B11" s="140">
        <v>1.520663629258793E-2</v>
      </c>
      <c r="C11" s="140">
        <v>1.498848988013466E-2</v>
      </c>
      <c r="D11" s="140">
        <v>1.6606431989825414E-2</v>
      </c>
      <c r="E11" s="140">
        <v>1.6742889300409913E-2</v>
      </c>
      <c r="F11" s="140">
        <v>1.7881975571842953E-2</v>
      </c>
      <c r="G11" s="140">
        <v>1.1914443899719931E-2</v>
      </c>
      <c r="H11" s="140">
        <v>1.3805906497584794E-2</v>
      </c>
      <c r="I11" s="140">
        <v>1.4973840794216176E-2</v>
      </c>
      <c r="J11" s="140">
        <v>1.0163102326543777E-2</v>
      </c>
      <c r="K11" s="140">
        <v>1.899594002587135E-2</v>
      </c>
      <c r="L11" s="109">
        <v>0.88</v>
      </c>
      <c r="M11" s="8"/>
      <c r="N11" s="8"/>
    </row>
    <row r="12" spans="1:17" ht="15" customHeight="1">
      <c r="A12" s="133" t="s">
        <v>39</v>
      </c>
      <c r="B12" s="139">
        <v>5.4104372396838359E-2</v>
      </c>
      <c r="C12" s="139">
        <v>5.2724423057144983E-2</v>
      </c>
      <c r="D12" s="139">
        <v>4.3352889352020273E-2</v>
      </c>
      <c r="E12" s="139">
        <v>4.1504063249133291E-2</v>
      </c>
      <c r="F12" s="139">
        <v>4.5939823445215321E-2</v>
      </c>
      <c r="G12" s="139">
        <v>3.3031725496838547E-2</v>
      </c>
      <c r="H12" s="139">
        <v>3.1257300205610843E-2</v>
      </c>
      <c r="I12" s="139">
        <v>3.9610909234068015E-2</v>
      </c>
      <c r="J12" s="139">
        <v>4.7137864466591538E-2</v>
      </c>
      <c r="K12" s="139">
        <v>4.7832272243722801E-2</v>
      </c>
      <c r="L12" s="107">
        <v>7.0000000000000007E-2</v>
      </c>
      <c r="M12" s="8"/>
      <c r="N12" s="8"/>
    </row>
    <row r="13" spans="1:17" ht="15" customHeight="1">
      <c r="A13" s="134" t="s">
        <v>48</v>
      </c>
      <c r="B13" s="140">
        <v>2.3908614775960215E-3</v>
      </c>
      <c r="C13" s="140">
        <v>2.2738758123074087E-3</v>
      </c>
      <c r="D13" s="140">
        <v>1.7063294393955765E-3</v>
      </c>
      <c r="E13" s="140">
        <v>1.6194936606352081E-3</v>
      </c>
      <c r="F13" s="140">
        <v>1.6801279768027593E-3</v>
      </c>
      <c r="G13" s="140">
        <v>1.3748045379002951E-3</v>
      </c>
      <c r="H13" s="140">
        <v>1.0869840998429419E-3</v>
      </c>
      <c r="I13" s="140">
        <v>9.4821851711598113E-4</v>
      </c>
      <c r="J13" s="140">
        <v>8.2352281757486017E-4</v>
      </c>
      <c r="K13" s="140">
        <v>7.5444418039477318E-4</v>
      </c>
      <c r="L13" s="109">
        <v>0</v>
      </c>
      <c r="M13" s="8"/>
      <c r="N13" s="8"/>
    </row>
    <row r="14" spans="1:17" ht="15" customHeight="1">
      <c r="A14" s="135" t="s">
        <v>1</v>
      </c>
      <c r="B14" s="141">
        <v>2.6010118863687109E-3</v>
      </c>
      <c r="C14" s="141">
        <v>2.9656759934465825E-3</v>
      </c>
      <c r="D14" s="141">
        <v>3.1976399964096973E-3</v>
      </c>
      <c r="E14" s="141">
        <v>3.0886986552595128E-3</v>
      </c>
      <c r="F14" s="141">
        <v>3.1024370783824316E-3</v>
      </c>
      <c r="G14" s="141">
        <v>1.3961925057148215E-3</v>
      </c>
      <c r="H14" s="141">
        <v>1.9175980712789126E-3</v>
      </c>
      <c r="I14" s="141">
        <v>2.4235161850039385E-3</v>
      </c>
      <c r="J14" s="141">
        <v>1.5257897182661666E-3</v>
      </c>
      <c r="K14" s="141">
        <v>1.5052335867977991E-3</v>
      </c>
      <c r="L14" s="145">
        <v>0</v>
      </c>
      <c r="M14" s="8"/>
      <c r="N14" s="8"/>
    </row>
    <row r="15" spans="1:17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50"/>
      <c r="M15" s="40"/>
      <c r="N15" s="40"/>
      <c r="O15" s="44"/>
      <c r="P15" s="44"/>
    </row>
    <row r="16" spans="1:17">
      <c r="A16" s="44" t="s">
        <v>143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50"/>
      <c r="M16" s="40"/>
      <c r="N16" s="40"/>
      <c r="O16" s="44"/>
      <c r="P16" s="44"/>
    </row>
    <row r="17" spans="1:16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50"/>
      <c r="M17" s="40"/>
      <c r="N17" s="40"/>
      <c r="O17" s="44"/>
      <c r="P17" s="44"/>
    </row>
    <row r="18" spans="1:16">
      <c r="A18" s="38" t="s">
        <v>37</v>
      </c>
      <c r="B18" s="39" t="s">
        <v>52</v>
      </c>
      <c r="C18" s="44"/>
      <c r="D18" s="44"/>
      <c r="E18" s="44"/>
      <c r="F18" s="44"/>
      <c r="G18" s="44"/>
      <c r="H18" s="44"/>
      <c r="I18" s="44"/>
      <c r="J18" s="44"/>
      <c r="K18" s="44"/>
      <c r="L18" s="50"/>
      <c r="M18" s="40"/>
      <c r="N18" s="40"/>
      <c r="O18" s="44"/>
      <c r="P18" s="44"/>
    </row>
    <row r="19" spans="1:16">
      <c r="A19" s="38" t="s">
        <v>42</v>
      </c>
      <c r="B19" s="39" t="s">
        <v>43</v>
      </c>
      <c r="C19" s="44"/>
      <c r="D19" s="44"/>
      <c r="E19" s="44"/>
      <c r="F19" s="44"/>
      <c r="G19" s="44"/>
      <c r="H19" s="44"/>
      <c r="I19" s="44"/>
      <c r="J19" s="44"/>
      <c r="K19" s="44"/>
      <c r="L19" s="50"/>
      <c r="M19" s="40"/>
      <c r="N19" s="40"/>
      <c r="O19" s="44"/>
      <c r="P19" s="44"/>
    </row>
    <row r="20" spans="1:16">
      <c r="A20" s="38" t="s">
        <v>38</v>
      </c>
      <c r="B20" s="39" t="s">
        <v>44</v>
      </c>
      <c r="C20" s="44"/>
      <c r="D20" s="44"/>
      <c r="E20" s="44"/>
      <c r="F20" s="44"/>
      <c r="G20" s="44"/>
      <c r="H20" s="44"/>
      <c r="I20" s="44"/>
      <c r="J20" s="44"/>
      <c r="K20" s="44"/>
      <c r="L20" s="50"/>
      <c r="M20" s="40"/>
      <c r="N20" s="40"/>
      <c r="O20" s="44"/>
      <c r="P20" s="44"/>
    </row>
    <row r="21" spans="1:16">
      <c r="A21" s="38" t="s">
        <v>48</v>
      </c>
      <c r="B21" s="39" t="s">
        <v>49</v>
      </c>
      <c r="C21" s="44"/>
      <c r="D21" s="44"/>
      <c r="E21" s="44"/>
      <c r="F21" s="44"/>
      <c r="G21" s="44"/>
      <c r="H21" s="44"/>
      <c r="I21" s="44"/>
      <c r="J21" s="44"/>
      <c r="K21" s="44"/>
      <c r="L21" s="50"/>
      <c r="M21" s="40"/>
      <c r="N21" s="40"/>
      <c r="O21" s="44"/>
      <c r="P21" s="44"/>
    </row>
    <row r="22" spans="1:16">
      <c r="A22" s="38" t="s">
        <v>1</v>
      </c>
      <c r="B22" s="39" t="s">
        <v>46</v>
      </c>
      <c r="C22" s="44"/>
      <c r="D22" s="44"/>
      <c r="E22" s="44"/>
      <c r="F22" s="44"/>
      <c r="G22" s="44"/>
      <c r="H22" s="44"/>
      <c r="I22" s="44"/>
      <c r="J22" s="44"/>
      <c r="K22" s="44"/>
      <c r="L22" s="50"/>
      <c r="M22" s="40"/>
      <c r="N22" s="40"/>
      <c r="O22" s="44"/>
      <c r="P22" s="44"/>
    </row>
    <row r="23" spans="1:16">
      <c r="A23" s="42"/>
      <c r="B23" s="39" t="s">
        <v>45</v>
      </c>
      <c r="C23" s="44"/>
      <c r="D23" s="44"/>
      <c r="E23" s="44"/>
      <c r="F23" s="44"/>
      <c r="G23" s="44"/>
      <c r="H23" s="44"/>
      <c r="I23" s="44"/>
      <c r="J23" s="44"/>
      <c r="K23" s="44"/>
      <c r="L23" s="50"/>
      <c r="M23" s="40"/>
      <c r="N23" s="40"/>
      <c r="O23" s="44"/>
      <c r="P23" s="44"/>
    </row>
    <row r="24" spans="1:16">
      <c r="A24" s="38"/>
      <c r="B24" s="39" t="s">
        <v>47</v>
      </c>
      <c r="C24" s="44"/>
      <c r="D24" s="44"/>
      <c r="E24" s="44"/>
      <c r="F24" s="44"/>
      <c r="G24" s="44"/>
      <c r="H24" s="44"/>
      <c r="I24" s="44"/>
      <c r="J24" s="44"/>
      <c r="K24" s="44"/>
      <c r="L24" s="50"/>
      <c r="M24" s="40"/>
      <c r="N24" s="40"/>
      <c r="O24" s="44"/>
      <c r="P24" s="44"/>
    </row>
    <row r="25" spans="1:16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50"/>
      <c r="M25" s="40"/>
      <c r="N25" s="40"/>
      <c r="O25" s="44"/>
      <c r="P25" s="44"/>
    </row>
    <row r="26" spans="1:16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50"/>
      <c r="M26" s="44"/>
      <c r="N26" s="8"/>
    </row>
    <row r="27" spans="1:16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50"/>
      <c r="M27" s="44"/>
      <c r="N27" s="8"/>
    </row>
    <row r="28" spans="1:16">
      <c r="M28" s="8"/>
      <c r="N28" s="8"/>
    </row>
    <row r="29" spans="1:16">
      <c r="M29" s="8"/>
      <c r="N29" s="8"/>
    </row>
    <row r="30" spans="1:16">
      <c r="M30" s="8"/>
      <c r="N30" s="8"/>
    </row>
    <row r="31" spans="1:16">
      <c r="M31" s="8"/>
      <c r="N31" s="8"/>
    </row>
    <row r="32" spans="1:16">
      <c r="M32" s="8"/>
      <c r="N32" s="8"/>
    </row>
    <row r="33" spans="13:14">
      <c r="M33" s="8"/>
      <c r="N33" s="8"/>
    </row>
  </sheetData>
  <mergeCells count="5">
    <mergeCell ref="A1:L1"/>
    <mergeCell ref="A2:L2"/>
    <mergeCell ref="A4:A5"/>
    <mergeCell ref="B4:K4"/>
    <mergeCell ref="L4:L5"/>
  </mergeCells>
  <hyperlinks>
    <hyperlink ref="N1" location="INDICE!Área_de_impresión" display="INDICE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/>
  <dimension ref="A1:N24"/>
  <sheetViews>
    <sheetView showGridLines="0" zoomScale="90" zoomScaleNormal="90" workbookViewId="0">
      <selection sqref="A1:H1"/>
    </sheetView>
  </sheetViews>
  <sheetFormatPr baseColWidth="10" defaultRowHeight="12.75"/>
  <cols>
    <col min="1" max="8" width="13.7109375" style="8" customWidth="1"/>
    <col min="9" max="9" width="2.28515625" style="2" customWidth="1"/>
    <col min="10" max="10" width="11.42578125" style="2"/>
    <col min="11" max="16384" width="11.42578125" style="8"/>
  </cols>
  <sheetData>
    <row r="1" spans="1:14" s="30" customFormat="1" ht="30" customHeight="1">
      <c r="A1" s="323" t="s">
        <v>54</v>
      </c>
      <c r="B1" s="324"/>
      <c r="C1" s="324"/>
      <c r="D1" s="324"/>
      <c r="E1" s="324"/>
      <c r="F1" s="324"/>
      <c r="G1" s="324"/>
      <c r="H1" s="325"/>
      <c r="I1" s="5"/>
      <c r="J1" s="31" t="s">
        <v>134</v>
      </c>
      <c r="K1" s="5"/>
      <c r="L1" s="5"/>
      <c r="M1" s="5"/>
      <c r="N1" s="5"/>
    </row>
    <row r="2" spans="1:14" s="19" customFormat="1" ht="30" customHeight="1">
      <c r="A2" s="328" t="s">
        <v>140</v>
      </c>
      <c r="B2" s="328"/>
      <c r="C2" s="328"/>
      <c r="D2" s="328"/>
      <c r="E2" s="328"/>
      <c r="F2" s="328"/>
      <c r="G2" s="328"/>
      <c r="H2" s="338"/>
    </row>
    <row r="3" spans="1:14" ht="8.1" customHeight="1">
      <c r="A3" s="44"/>
      <c r="B3" s="44"/>
      <c r="C3" s="44"/>
      <c r="D3" s="44"/>
      <c r="E3" s="44"/>
      <c r="F3" s="44"/>
      <c r="G3" s="44"/>
      <c r="H3" s="44"/>
      <c r="I3" s="40"/>
      <c r="J3" s="40"/>
    </row>
    <row r="4" spans="1:14">
      <c r="A4" s="359" t="s">
        <v>304</v>
      </c>
      <c r="B4" s="362">
        <v>2024</v>
      </c>
      <c r="C4" s="357" t="s">
        <v>132</v>
      </c>
      <c r="D4" s="357" t="s">
        <v>145</v>
      </c>
      <c r="E4" s="362">
        <v>2023</v>
      </c>
      <c r="F4" s="357" t="s">
        <v>132</v>
      </c>
      <c r="G4" s="357" t="s">
        <v>145</v>
      </c>
      <c r="H4" s="211" t="s">
        <v>146</v>
      </c>
      <c r="I4" s="40"/>
      <c r="J4" s="40"/>
    </row>
    <row r="5" spans="1:14">
      <c r="A5" s="360"/>
      <c r="B5" s="363"/>
      <c r="C5" s="358"/>
      <c r="D5" s="358"/>
      <c r="E5" s="363"/>
      <c r="F5" s="358"/>
      <c r="G5" s="358"/>
      <c r="H5" s="292" t="s">
        <v>286</v>
      </c>
      <c r="I5" s="8"/>
      <c r="J5" s="8"/>
    </row>
    <row r="6" spans="1:14">
      <c r="A6" s="361"/>
      <c r="B6" s="363"/>
      <c r="C6" s="358"/>
      <c r="D6" s="358"/>
      <c r="E6" s="363"/>
      <c r="F6" s="358"/>
      <c r="G6" s="358"/>
      <c r="H6" s="212" t="s">
        <v>76</v>
      </c>
      <c r="I6" s="8"/>
      <c r="J6" s="8"/>
    </row>
    <row r="7" spans="1:14" ht="15" customHeight="1">
      <c r="A7" s="81" t="s">
        <v>0</v>
      </c>
      <c r="B7" s="266">
        <v>108775</v>
      </c>
      <c r="C7" s="266">
        <v>298.01369863013701</v>
      </c>
      <c r="D7" s="244">
        <v>1</v>
      </c>
      <c r="E7" s="266">
        <v>104051</v>
      </c>
      <c r="F7" s="266">
        <v>285.07123287671232</v>
      </c>
      <c r="G7" s="247">
        <v>1</v>
      </c>
      <c r="H7" s="291">
        <v>4.5400813062824952E-2</v>
      </c>
      <c r="I7" s="8"/>
      <c r="J7" s="8"/>
    </row>
    <row r="8" spans="1:14" ht="15" customHeight="1">
      <c r="A8" s="132" t="s">
        <v>26</v>
      </c>
      <c r="B8" s="115">
        <v>9981</v>
      </c>
      <c r="C8" s="115">
        <v>321.96774193548384</v>
      </c>
      <c r="D8" s="138">
        <v>9.1758216501953579E-2</v>
      </c>
      <c r="E8" s="216">
        <v>8584</v>
      </c>
      <c r="F8" s="115">
        <v>276.90322580645159</v>
      </c>
      <c r="G8" s="138">
        <v>8.2498005785624356E-2</v>
      </c>
      <c r="H8" s="217">
        <v>0.16274464119291698</v>
      </c>
      <c r="I8" s="8"/>
      <c r="J8" s="8"/>
    </row>
    <row r="9" spans="1:14" ht="15" customHeight="1">
      <c r="A9" s="133" t="s">
        <v>27</v>
      </c>
      <c r="B9" s="116">
        <v>10108</v>
      </c>
      <c r="C9" s="116">
        <v>361</v>
      </c>
      <c r="D9" s="139">
        <v>9.2925764192139743E-2</v>
      </c>
      <c r="E9" s="116">
        <v>8279</v>
      </c>
      <c r="F9" s="116">
        <v>295.67857142857144</v>
      </c>
      <c r="G9" s="213">
        <v>7.9566750920221821E-2</v>
      </c>
      <c r="H9" s="218">
        <v>0.2209204010146153</v>
      </c>
      <c r="I9" s="8"/>
      <c r="J9" s="8"/>
    </row>
    <row r="10" spans="1:14" ht="15" customHeight="1">
      <c r="A10" s="134" t="s">
        <v>28</v>
      </c>
      <c r="B10" s="118">
        <v>10313</v>
      </c>
      <c r="C10" s="118">
        <v>332.67741935483872</v>
      </c>
      <c r="D10" s="140">
        <v>9.481038841645599E-2</v>
      </c>
      <c r="E10" s="118">
        <v>10138</v>
      </c>
      <c r="F10" s="118">
        <v>327.03225806451616</v>
      </c>
      <c r="G10" s="214">
        <v>9.7432989591642566E-2</v>
      </c>
      <c r="H10" s="217">
        <v>1.726178733478001E-2</v>
      </c>
      <c r="I10" s="8"/>
      <c r="J10" s="8"/>
    </row>
    <row r="11" spans="1:14" ht="15" customHeight="1">
      <c r="A11" s="133" t="s">
        <v>58</v>
      </c>
      <c r="B11" s="116">
        <v>9738</v>
      </c>
      <c r="C11" s="116">
        <v>324.60000000000002</v>
      </c>
      <c r="D11" s="139">
        <v>8.9524247299471379E-2</v>
      </c>
      <c r="E11" s="116">
        <v>8903</v>
      </c>
      <c r="F11" s="116">
        <v>296.76666666666665</v>
      </c>
      <c r="G11" s="213">
        <v>8.5563810054684719E-2</v>
      </c>
      <c r="H11" s="218">
        <v>9.3788610580703091E-2</v>
      </c>
      <c r="I11" s="8"/>
      <c r="J11" s="8"/>
    </row>
    <row r="12" spans="1:14" ht="15" customHeight="1">
      <c r="A12" s="134" t="s">
        <v>29</v>
      </c>
      <c r="B12" s="118">
        <v>9933</v>
      </c>
      <c r="C12" s="118">
        <v>320.41935483870969</v>
      </c>
      <c r="D12" s="140">
        <v>9.1316938634796604E-2</v>
      </c>
      <c r="E12" s="118">
        <v>8419</v>
      </c>
      <c r="F12" s="118">
        <v>271.58064516129031</v>
      </c>
      <c r="G12" s="214">
        <v>8.0912244956800036E-2</v>
      </c>
      <c r="H12" s="217">
        <v>0.17983133388763517</v>
      </c>
      <c r="I12" s="8"/>
      <c r="J12" s="8"/>
    </row>
    <row r="13" spans="1:14" ht="15" customHeight="1">
      <c r="A13" s="133" t="s">
        <v>30</v>
      </c>
      <c r="B13" s="116">
        <v>8622</v>
      </c>
      <c r="C13" s="116">
        <v>287.39999999999998</v>
      </c>
      <c r="D13" s="139">
        <v>7.926453688807171E-2</v>
      </c>
      <c r="E13" s="116">
        <v>8232</v>
      </c>
      <c r="F13" s="116">
        <v>274.39999999999998</v>
      </c>
      <c r="G13" s="213">
        <v>7.9115049350799133E-2</v>
      </c>
      <c r="H13" s="218">
        <v>4.7376093294460686E-2</v>
      </c>
      <c r="I13" s="8"/>
      <c r="J13" s="8"/>
    </row>
    <row r="14" spans="1:14" ht="15" customHeight="1">
      <c r="A14" s="134" t="s">
        <v>59</v>
      </c>
      <c r="B14" s="118">
        <v>8864</v>
      </c>
      <c r="C14" s="118">
        <v>285.93548387096774</v>
      </c>
      <c r="D14" s="140">
        <v>8.1489312801654792E-2</v>
      </c>
      <c r="E14" s="118">
        <v>8538</v>
      </c>
      <c r="F14" s="118">
        <v>275.41935483870969</v>
      </c>
      <c r="G14" s="214">
        <v>8.2055914887891518E-2</v>
      </c>
      <c r="H14" s="217">
        <v>3.8182244085265937E-2</v>
      </c>
      <c r="I14" s="8"/>
      <c r="J14" s="8"/>
    </row>
    <row r="15" spans="1:14" ht="15" customHeight="1">
      <c r="A15" s="133" t="s">
        <v>60</v>
      </c>
      <c r="B15" s="116">
        <v>8423</v>
      </c>
      <c r="C15" s="116">
        <v>271.70967741935482</v>
      </c>
      <c r="D15" s="139">
        <v>7.7435072397150084E-2</v>
      </c>
      <c r="E15" s="116">
        <v>8605</v>
      </c>
      <c r="F15" s="116">
        <v>277.58064516129031</v>
      </c>
      <c r="G15" s="213">
        <v>8.269982989111109E-2</v>
      </c>
      <c r="H15" s="218">
        <v>-2.1150493898896006E-2</v>
      </c>
      <c r="I15" s="8"/>
      <c r="J15" s="8"/>
    </row>
    <row r="16" spans="1:14" ht="15" customHeight="1">
      <c r="A16" s="134" t="s">
        <v>61</v>
      </c>
      <c r="B16" s="118">
        <v>8274</v>
      </c>
      <c r="C16" s="118">
        <v>275.8</v>
      </c>
      <c r="D16" s="140">
        <v>7.6065272351183641E-2</v>
      </c>
      <c r="E16" s="118">
        <v>8097</v>
      </c>
      <c r="F16" s="118">
        <v>269.89999999999998</v>
      </c>
      <c r="G16" s="214">
        <v>7.7817608672670138E-2</v>
      </c>
      <c r="H16" s="217">
        <v>2.1859948128936546E-2</v>
      </c>
      <c r="I16" s="8"/>
      <c r="J16" s="8"/>
    </row>
    <row r="17" spans="1:10" ht="15" customHeight="1">
      <c r="A17" s="133" t="s">
        <v>62</v>
      </c>
      <c r="B17" s="116">
        <v>8362</v>
      </c>
      <c r="C17" s="116">
        <v>269.74193548387098</v>
      </c>
      <c r="D17" s="139">
        <v>7.6874281774304762E-2</v>
      </c>
      <c r="E17" s="116">
        <v>8195</v>
      </c>
      <c r="F17" s="116">
        <v>264.35483870967744</v>
      </c>
      <c r="G17" s="213">
        <v>7.8759454498274886E-2</v>
      </c>
      <c r="H17" s="218">
        <v>2.0378279438682201E-2</v>
      </c>
      <c r="I17" s="8"/>
      <c r="J17" s="8"/>
    </row>
    <row r="18" spans="1:10" ht="15" customHeight="1">
      <c r="A18" s="134" t="s">
        <v>63</v>
      </c>
      <c r="B18" s="118">
        <v>8232</v>
      </c>
      <c r="C18" s="118">
        <v>274.39999999999998</v>
      </c>
      <c r="D18" s="140">
        <v>7.5679154217421288E-2</v>
      </c>
      <c r="E18" s="118">
        <v>8486</v>
      </c>
      <c r="F18" s="118">
        <v>282.86666666666667</v>
      </c>
      <c r="G18" s="214">
        <v>8.1556159960019609E-2</v>
      </c>
      <c r="H18" s="217">
        <v>-2.9931652132924813E-2</v>
      </c>
      <c r="I18" s="8"/>
      <c r="J18" s="8"/>
    </row>
    <row r="19" spans="1:10" ht="15" customHeight="1">
      <c r="A19" s="135" t="s">
        <v>64</v>
      </c>
      <c r="B19" s="129">
        <v>7925</v>
      </c>
      <c r="C19" s="129">
        <v>255.64516129032259</v>
      </c>
      <c r="D19" s="141">
        <v>7.2856814525396454E-2</v>
      </c>
      <c r="E19" s="129">
        <v>9575</v>
      </c>
      <c r="F19" s="129">
        <v>308.87096774193549</v>
      </c>
      <c r="G19" s="215">
        <v>9.2022181430260155E-2</v>
      </c>
      <c r="H19" s="219">
        <v>-0.17232375979112269</v>
      </c>
      <c r="I19" s="8"/>
      <c r="J19" s="8"/>
    </row>
    <row r="20" spans="1:10">
      <c r="I20" s="8"/>
      <c r="J20" s="8"/>
    </row>
    <row r="21" spans="1:10">
      <c r="I21" s="8"/>
      <c r="J21" s="8"/>
    </row>
    <row r="22" spans="1:10">
      <c r="I22" s="8"/>
      <c r="J22" s="8"/>
    </row>
    <row r="23" spans="1:10">
      <c r="I23" s="8"/>
      <c r="J23" s="8"/>
    </row>
    <row r="24" spans="1:10">
      <c r="I24" s="8"/>
      <c r="J24" s="8"/>
    </row>
  </sheetData>
  <mergeCells count="9">
    <mergeCell ref="G4:G6"/>
    <mergeCell ref="A4:A6"/>
    <mergeCell ref="A1:H1"/>
    <mergeCell ref="A2:H2"/>
    <mergeCell ref="B4:B6"/>
    <mergeCell ref="C4:C6"/>
    <mergeCell ref="D4:D6"/>
    <mergeCell ref="E4:E6"/>
    <mergeCell ref="F4:F6"/>
  </mergeCells>
  <hyperlinks>
    <hyperlink ref="J1" location="INDICE!Área_de_impresión" display="INDICE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P28"/>
  <sheetViews>
    <sheetView showGridLines="0" zoomScale="90" zoomScaleNormal="90" workbookViewId="0">
      <selection sqref="A1:J1"/>
    </sheetView>
  </sheetViews>
  <sheetFormatPr baseColWidth="10" defaultRowHeight="12.75"/>
  <cols>
    <col min="1" max="1" width="11.42578125" style="8"/>
    <col min="2" max="10" width="13.7109375" style="8" customWidth="1"/>
    <col min="11" max="11" width="1.7109375" style="2" customWidth="1"/>
    <col min="12" max="12" width="11.42578125" style="2"/>
    <col min="13" max="16384" width="11.42578125" style="8"/>
  </cols>
  <sheetData>
    <row r="1" spans="1:16" s="30" customFormat="1" ht="30" customHeight="1">
      <c r="A1" s="323" t="s">
        <v>54</v>
      </c>
      <c r="B1" s="324"/>
      <c r="C1" s="324"/>
      <c r="D1" s="324"/>
      <c r="E1" s="324"/>
      <c r="F1" s="324"/>
      <c r="G1" s="324"/>
      <c r="H1" s="324"/>
      <c r="I1" s="324"/>
      <c r="J1" s="325"/>
      <c r="K1" s="8"/>
      <c r="L1" s="31" t="s">
        <v>134</v>
      </c>
      <c r="M1" s="8"/>
      <c r="N1" s="8"/>
      <c r="O1" s="8"/>
      <c r="P1" s="8"/>
    </row>
    <row r="2" spans="1:16" s="19" customFormat="1" ht="30" customHeight="1">
      <c r="A2" s="326" t="s">
        <v>293</v>
      </c>
      <c r="B2" s="327"/>
      <c r="C2" s="327"/>
      <c r="D2" s="327"/>
      <c r="E2" s="327"/>
      <c r="F2" s="327"/>
      <c r="G2" s="327"/>
      <c r="H2" s="327"/>
      <c r="I2" s="327"/>
      <c r="J2" s="341"/>
    </row>
    <row r="3" spans="1:16" ht="8.1" customHeight="1">
      <c r="A3" s="47"/>
      <c r="B3" s="44"/>
      <c r="C3" s="44"/>
      <c r="D3" s="44"/>
      <c r="E3" s="44"/>
      <c r="F3" s="44"/>
      <c r="G3" s="44"/>
      <c r="H3" s="44"/>
      <c r="I3" s="44"/>
      <c r="J3" s="44"/>
      <c r="K3" s="40"/>
      <c r="L3" s="40"/>
    </row>
    <row r="4" spans="1:16">
      <c r="A4" s="221"/>
      <c r="B4" s="222" t="s">
        <v>0</v>
      </c>
      <c r="C4" s="223" t="s">
        <v>37</v>
      </c>
      <c r="D4" s="222" t="s">
        <v>42</v>
      </c>
      <c r="E4" s="222" t="s">
        <v>38</v>
      </c>
      <c r="F4" s="223" t="s">
        <v>40</v>
      </c>
      <c r="G4" s="222" t="s">
        <v>41</v>
      </c>
      <c r="H4" s="222" t="s">
        <v>39</v>
      </c>
      <c r="I4" s="223" t="s">
        <v>103</v>
      </c>
      <c r="J4" s="224" t="s">
        <v>1</v>
      </c>
      <c r="K4" s="8"/>
      <c r="L4" s="8"/>
    </row>
    <row r="5" spans="1:16" ht="15" customHeight="1">
      <c r="A5" s="220" t="s">
        <v>304</v>
      </c>
      <c r="B5" s="104">
        <v>108775</v>
      </c>
      <c r="C5" s="104">
        <v>57018</v>
      </c>
      <c r="D5" s="104">
        <v>3343</v>
      </c>
      <c r="E5" s="104">
        <v>508</v>
      </c>
      <c r="F5" s="104">
        <v>217</v>
      </c>
      <c r="G5" s="104">
        <v>334</v>
      </c>
      <c r="H5" s="104">
        <v>47168</v>
      </c>
      <c r="I5" s="104">
        <v>117</v>
      </c>
      <c r="J5" s="121">
        <v>70</v>
      </c>
      <c r="K5" s="8"/>
      <c r="L5" s="8"/>
    </row>
    <row r="6" spans="1:16" ht="15" customHeight="1">
      <c r="A6" s="132" t="s">
        <v>26</v>
      </c>
      <c r="B6" s="115">
        <v>9981</v>
      </c>
      <c r="C6" s="115">
        <v>4897</v>
      </c>
      <c r="D6" s="115">
        <v>272</v>
      </c>
      <c r="E6" s="115">
        <v>35</v>
      </c>
      <c r="F6" s="115">
        <v>13</v>
      </c>
      <c r="G6" s="115">
        <v>38</v>
      </c>
      <c r="H6" s="115">
        <v>4717</v>
      </c>
      <c r="I6" s="115">
        <v>3</v>
      </c>
      <c r="J6" s="115">
        <v>6</v>
      </c>
      <c r="K6" s="8"/>
      <c r="L6" s="8"/>
    </row>
    <row r="7" spans="1:16" ht="15" customHeight="1">
      <c r="A7" s="133" t="s">
        <v>27</v>
      </c>
      <c r="B7" s="116">
        <v>10108</v>
      </c>
      <c r="C7" s="116">
        <v>5144</v>
      </c>
      <c r="D7" s="116">
        <v>258</v>
      </c>
      <c r="E7" s="116">
        <v>34</v>
      </c>
      <c r="F7" s="116">
        <v>18</v>
      </c>
      <c r="G7" s="116">
        <v>24</v>
      </c>
      <c r="H7" s="116">
        <v>4615</v>
      </c>
      <c r="I7" s="116">
        <v>10</v>
      </c>
      <c r="J7" s="117">
        <v>5</v>
      </c>
      <c r="K7" s="8"/>
      <c r="L7" s="8"/>
    </row>
    <row r="8" spans="1:16" ht="15" customHeight="1">
      <c r="A8" s="134" t="s">
        <v>28</v>
      </c>
      <c r="B8" s="118">
        <v>10313</v>
      </c>
      <c r="C8" s="118">
        <v>5570</v>
      </c>
      <c r="D8" s="118">
        <v>332</v>
      </c>
      <c r="E8" s="118">
        <v>41</v>
      </c>
      <c r="F8" s="118">
        <v>15</v>
      </c>
      <c r="G8" s="118">
        <v>29</v>
      </c>
      <c r="H8" s="118">
        <v>4304</v>
      </c>
      <c r="I8" s="118">
        <v>14</v>
      </c>
      <c r="J8" s="119">
        <v>8</v>
      </c>
      <c r="K8" s="8"/>
      <c r="L8" s="8"/>
    </row>
    <row r="9" spans="1:16" ht="15" customHeight="1">
      <c r="A9" s="133" t="s">
        <v>58</v>
      </c>
      <c r="B9" s="116">
        <v>9738</v>
      </c>
      <c r="C9" s="116">
        <v>5512</v>
      </c>
      <c r="D9" s="116">
        <v>291</v>
      </c>
      <c r="E9" s="116">
        <v>39</v>
      </c>
      <c r="F9" s="116">
        <v>21</v>
      </c>
      <c r="G9" s="116">
        <v>38</v>
      </c>
      <c r="H9" s="116">
        <v>3829</v>
      </c>
      <c r="I9" s="116">
        <v>5</v>
      </c>
      <c r="J9" s="117">
        <v>3</v>
      </c>
      <c r="K9" s="8"/>
      <c r="L9" s="8"/>
    </row>
    <row r="10" spans="1:16" ht="15" customHeight="1">
      <c r="A10" s="134" t="s">
        <v>29</v>
      </c>
      <c r="B10" s="118">
        <v>9933</v>
      </c>
      <c r="C10" s="118">
        <v>5355</v>
      </c>
      <c r="D10" s="118">
        <v>304</v>
      </c>
      <c r="E10" s="118">
        <v>43</v>
      </c>
      <c r="F10" s="118">
        <v>20</v>
      </c>
      <c r="G10" s="118">
        <v>36</v>
      </c>
      <c r="H10" s="118">
        <v>4154</v>
      </c>
      <c r="I10" s="118">
        <v>15</v>
      </c>
      <c r="J10" s="119">
        <v>6</v>
      </c>
      <c r="K10" s="8"/>
      <c r="L10" s="8"/>
    </row>
    <row r="11" spans="1:16" ht="15" customHeight="1">
      <c r="A11" s="133" t="s">
        <v>30</v>
      </c>
      <c r="B11" s="116">
        <v>8622</v>
      </c>
      <c r="C11" s="116">
        <v>4543</v>
      </c>
      <c r="D11" s="116">
        <v>287</v>
      </c>
      <c r="E11" s="116">
        <v>37</v>
      </c>
      <c r="F11" s="116">
        <v>33</v>
      </c>
      <c r="G11" s="116">
        <v>36</v>
      </c>
      <c r="H11" s="116">
        <v>3677</v>
      </c>
      <c r="I11" s="116">
        <v>8</v>
      </c>
      <c r="J11" s="117">
        <v>1</v>
      </c>
      <c r="K11" s="8"/>
      <c r="L11" s="8"/>
    </row>
    <row r="12" spans="1:16" ht="15" customHeight="1">
      <c r="A12" s="134" t="s">
        <v>59</v>
      </c>
      <c r="B12" s="118">
        <v>8864</v>
      </c>
      <c r="C12" s="118">
        <v>4593</v>
      </c>
      <c r="D12" s="118">
        <v>266</v>
      </c>
      <c r="E12" s="118">
        <v>41</v>
      </c>
      <c r="F12" s="118">
        <v>20</v>
      </c>
      <c r="G12" s="118">
        <v>31</v>
      </c>
      <c r="H12" s="118">
        <v>3896</v>
      </c>
      <c r="I12" s="118">
        <v>8</v>
      </c>
      <c r="J12" s="119">
        <v>9</v>
      </c>
      <c r="K12" s="8"/>
      <c r="L12" s="8"/>
    </row>
    <row r="13" spans="1:16" ht="15" customHeight="1">
      <c r="A13" s="133" t="s">
        <v>60</v>
      </c>
      <c r="B13" s="116">
        <v>8423</v>
      </c>
      <c r="C13" s="116">
        <v>4522</v>
      </c>
      <c r="D13" s="116">
        <v>284</v>
      </c>
      <c r="E13" s="116">
        <v>49</v>
      </c>
      <c r="F13" s="116">
        <v>23</v>
      </c>
      <c r="G13" s="116">
        <v>24</v>
      </c>
      <c r="H13" s="116">
        <v>3498</v>
      </c>
      <c r="I13" s="116">
        <v>14</v>
      </c>
      <c r="J13" s="117">
        <v>9</v>
      </c>
      <c r="K13" s="8"/>
      <c r="L13" s="8"/>
    </row>
    <row r="14" spans="1:16" ht="15" customHeight="1">
      <c r="A14" s="134" t="s">
        <v>61</v>
      </c>
      <c r="B14" s="118">
        <v>8274</v>
      </c>
      <c r="C14" s="118">
        <v>4258</v>
      </c>
      <c r="D14" s="118">
        <v>276</v>
      </c>
      <c r="E14" s="118">
        <v>53</v>
      </c>
      <c r="F14" s="118">
        <v>14</v>
      </c>
      <c r="G14" s="118">
        <v>20</v>
      </c>
      <c r="H14" s="118">
        <v>3639</v>
      </c>
      <c r="I14" s="118">
        <v>6</v>
      </c>
      <c r="J14" s="119">
        <v>8</v>
      </c>
      <c r="K14" s="8"/>
      <c r="L14" s="8"/>
    </row>
    <row r="15" spans="1:16" ht="15" customHeight="1">
      <c r="A15" s="133" t="s">
        <v>62</v>
      </c>
      <c r="B15" s="116">
        <v>8362</v>
      </c>
      <c r="C15" s="116">
        <v>4271</v>
      </c>
      <c r="D15" s="116">
        <v>256</v>
      </c>
      <c r="E15" s="116">
        <v>59</v>
      </c>
      <c r="F15" s="116">
        <v>18</v>
      </c>
      <c r="G15" s="116">
        <v>24</v>
      </c>
      <c r="H15" s="116">
        <v>3714</v>
      </c>
      <c r="I15" s="116">
        <v>15</v>
      </c>
      <c r="J15" s="117">
        <v>5</v>
      </c>
      <c r="K15" s="8"/>
      <c r="L15" s="8"/>
    </row>
    <row r="16" spans="1:16" ht="15" customHeight="1">
      <c r="A16" s="134" t="s">
        <v>63</v>
      </c>
      <c r="B16" s="118">
        <v>8232</v>
      </c>
      <c r="C16" s="118">
        <v>4287</v>
      </c>
      <c r="D16" s="118">
        <v>260</v>
      </c>
      <c r="E16" s="118">
        <v>46</v>
      </c>
      <c r="F16" s="118">
        <v>8</v>
      </c>
      <c r="G16" s="118">
        <v>17</v>
      </c>
      <c r="H16" s="118">
        <v>3597</v>
      </c>
      <c r="I16" s="118">
        <v>15</v>
      </c>
      <c r="J16" s="119">
        <v>2</v>
      </c>
      <c r="K16" s="8"/>
      <c r="L16" s="8"/>
    </row>
    <row r="17" spans="1:12" ht="15" customHeight="1">
      <c r="A17" s="135" t="s">
        <v>64</v>
      </c>
      <c r="B17" s="129">
        <v>7925</v>
      </c>
      <c r="C17" s="129">
        <v>4066</v>
      </c>
      <c r="D17" s="129">
        <v>257</v>
      </c>
      <c r="E17" s="129">
        <v>31</v>
      </c>
      <c r="F17" s="129">
        <v>14</v>
      </c>
      <c r="G17" s="129">
        <v>17</v>
      </c>
      <c r="H17" s="129">
        <v>3528</v>
      </c>
      <c r="I17" s="129">
        <v>4</v>
      </c>
      <c r="J17" s="225">
        <v>8</v>
      </c>
      <c r="K17" s="8"/>
      <c r="L17" s="8"/>
    </row>
    <row r="18" spans="1:12">
      <c r="A18" s="47"/>
      <c r="B18" s="44"/>
      <c r="C18" s="44"/>
      <c r="D18" s="44"/>
      <c r="E18" s="44"/>
      <c r="F18" s="44"/>
      <c r="G18" s="44"/>
      <c r="H18" s="44"/>
      <c r="I18" s="44"/>
      <c r="J18" s="44"/>
      <c r="K18" s="40"/>
      <c r="L18" s="40"/>
    </row>
    <row r="19" spans="1:12">
      <c r="A19" s="38" t="s">
        <v>37</v>
      </c>
      <c r="B19" s="39" t="s">
        <v>52</v>
      </c>
      <c r="C19" s="44"/>
      <c r="D19" s="44"/>
      <c r="E19" s="44"/>
      <c r="F19" s="44"/>
      <c r="G19" s="44"/>
      <c r="H19" s="44"/>
      <c r="I19" s="44"/>
      <c r="J19" s="44"/>
      <c r="K19" s="40"/>
      <c r="L19" s="40"/>
    </row>
    <row r="20" spans="1:12">
      <c r="A20" s="38" t="s">
        <v>42</v>
      </c>
      <c r="B20" s="39" t="s">
        <v>43</v>
      </c>
      <c r="C20" s="44"/>
      <c r="D20" s="44"/>
      <c r="E20" s="44"/>
      <c r="F20" s="44"/>
      <c r="G20" s="44"/>
      <c r="H20" s="44"/>
      <c r="I20" s="44"/>
      <c r="J20" s="44"/>
      <c r="K20" s="40"/>
      <c r="L20" s="40"/>
    </row>
    <row r="21" spans="1:12">
      <c r="A21" s="38" t="s">
        <v>38</v>
      </c>
      <c r="B21" s="39" t="s">
        <v>44</v>
      </c>
      <c r="C21" s="44"/>
      <c r="D21" s="44"/>
      <c r="E21" s="44"/>
      <c r="F21" s="44"/>
      <c r="G21" s="44"/>
      <c r="H21" s="44"/>
      <c r="I21" s="44"/>
      <c r="J21" s="44"/>
      <c r="K21" s="40"/>
      <c r="L21" s="40"/>
    </row>
    <row r="22" spans="1:12">
      <c r="A22" s="38" t="s">
        <v>48</v>
      </c>
      <c r="B22" s="39" t="s">
        <v>49</v>
      </c>
      <c r="C22" s="44"/>
      <c r="D22" s="44"/>
      <c r="E22" s="44"/>
      <c r="F22" s="44"/>
      <c r="G22" s="44"/>
      <c r="H22" s="44"/>
      <c r="I22" s="44"/>
      <c r="J22" s="44"/>
      <c r="K22" s="40"/>
      <c r="L22" s="40"/>
    </row>
    <row r="23" spans="1:12">
      <c r="A23" s="38" t="s">
        <v>1</v>
      </c>
      <c r="B23" s="39" t="s">
        <v>46</v>
      </c>
      <c r="C23" s="44"/>
      <c r="D23" s="44"/>
      <c r="E23" s="44"/>
      <c r="F23" s="44"/>
      <c r="G23" s="44"/>
      <c r="H23" s="44"/>
      <c r="I23" s="44"/>
      <c r="J23" s="44"/>
      <c r="K23" s="40"/>
      <c r="L23" s="40"/>
    </row>
    <row r="24" spans="1:12">
      <c r="A24" s="42"/>
      <c r="B24" s="39" t="s">
        <v>45</v>
      </c>
      <c r="C24" s="44"/>
      <c r="D24" s="44"/>
      <c r="E24" s="44"/>
      <c r="F24" s="44"/>
      <c r="G24" s="44"/>
      <c r="H24" s="44"/>
      <c r="I24" s="44"/>
      <c r="J24" s="44"/>
      <c r="K24" s="40"/>
      <c r="L24" s="40"/>
    </row>
    <row r="25" spans="1:12">
      <c r="A25" s="38"/>
      <c r="B25" s="39" t="s">
        <v>47</v>
      </c>
      <c r="C25" s="44"/>
      <c r="D25" s="44"/>
      <c r="E25" s="44"/>
      <c r="F25" s="44"/>
      <c r="G25" s="44"/>
      <c r="H25" s="44"/>
      <c r="I25" s="44"/>
      <c r="J25" s="44"/>
      <c r="K25" s="40"/>
      <c r="L25" s="40"/>
    </row>
    <row r="26" spans="1:12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0"/>
      <c r="L26" s="40"/>
    </row>
    <row r="27" spans="1:12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0"/>
      <c r="L27" s="40"/>
    </row>
    <row r="28" spans="1:12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0"/>
      <c r="L28" s="40"/>
    </row>
  </sheetData>
  <mergeCells count="2">
    <mergeCell ref="A2:J2"/>
    <mergeCell ref="A1:J1"/>
  </mergeCells>
  <hyperlinks>
    <hyperlink ref="L1" location="INDICE!Área_de_impresión" display="INDICE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/>
  <dimension ref="A1:P60"/>
  <sheetViews>
    <sheetView showGridLines="0" zoomScale="90" zoomScaleNormal="90" workbookViewId="0">
      <selection sqref="A1:F1"/>
    </sheetView>
  </sheetViews>
  <sheetFormatPr baseColWidth="10" defaultRowHeight="12.75"/>
  <cols>
    <col min="1" max="1" width="13.28515625" style="8" customWidth="1"/>
    <col min="2" max="2" width="18" style="8" customWidth="1"/>
    <col min="3" max="6" width="13.7109375" style="8" customWidth="1"/>
    <col min="7" max="7" width="1.7109375" style="5" customWidth="1"/>
    <col min="8" max="8" width="11.42578125" style="2"/>
    <col min="9" max="16384" width="11.42578125" style="8"/>
  </cols>
  <sheetData>
    <row r="1" spans="1:16" s="30" customFormat="1" ht="30" customHeight="1">
      <c r="A1" s="323" t="s">
        <v>54</v>
      </c>
      <c r="B1" s="324"/>
      <c r="C1" s="324"/>
      <c r="D1" s="324"/>
      <c r="E1" s="324"/>
      <c r="F1" s="324"/>
      <c r="G1" s="5"/>
      <c r="H1" s="31" t="s">
        <v>134</v>
      </c>
      <c r="I1" s="19"/>
      <c r="J1" s="19"/>
      <c r="K1" s="19"/>
      <c r="L1" s="19"/>
      <c r="M1" s="19"/>
      <c r="N1" s="19"/>
      <c r="O1" s="19"/>
      <c r="P1" s="19"/>
    </row>
    <row r="2" spans="1:16" s="19" customFormat="1" ht="30" customHeight="1">
      <c r="A2" s="328" t="s">
        <v>294</v>
      </c>
      <c r="B2" s="328"/>
      <c r="C2" s="328"/>
      <c r="D2" s="328"/>
      <c r="E2" s="328"/>
      <c r="F2" s="328"/>
      <c r="G2" s="5"/>
    </row>
    <row r="3" spans="1:16" ht="8.1" customHeight="1">
      <c r="A3" s="44"/>
      <c r="B3" s="44"/>
      <c r="C3" s="44"/>
      <c r="D3" s="44"/>
      <c r="E3" s="44"/>
      <c r="F3" s="44"/>
      <c r="H3" s="40"/>
      <c r="I3" s="44"/>
      <c r="J3" s="44"/>
      <c r="K3" s="44"/>
      <c r="L3" s="44"/>
      <c r="M3" s="44"/>
    </row>
    <row r="4" spans="1:16" s="5" customFormat="1" ht="40.5" customHeight="1">
      <c r="A4" s="364" t="s">
        <v>224</v>
      </c>
      <c r="B4" s="320"/>
      <c r="C4" s="226" t="s">
        <v>130</v>
      </c>
      <c r="D4" s="265" t="s">
        <v>145</v>
      </c>
      <c r="E4" s="227" t="s">
        <v>133</v>
      </c>
      <c r="F4" s="265" t="s">
        <v>156</v>
      </c>
    </row>
    <row r="5" spans="1:16" s="5" customFormat="1" ht="15" customHeight="1">
      <c r="A5" s="349" t="s">
        <v>0</v>
      </c>
      <c r="B5" s="350"/>
      <c r="C5" s="192">
        <v>108775</v>
      </c>
      <c r="D5" s="191">
        <v>1</v>
      </c>
      <c r="E5" s="229">
        <v>1.1287809037715044E-2</v>
      </c>
      <c r="F5" s="198">
        <v>0.09</v>
      </c>
    </row>
    <row r="6" spans="1:16" ht="15" customHeight="1">
      <c r="A6" s="160" t="s">
        <v>141</v>
      </c>
      <c r="B6" s="169"/>
      <c r="C6" s="170">
        <v>13224</v>
      </c>
      <c r="D6" s="169">
        <v>0.12157205240174672</v>
      </c>
      <c r="E6" s="169">
        <v>1.2746401633565807E-2</v>
      </c>
      <c r="F6" s="105">
        <v>0.05</v>
      </c>
      <c r="G6" s="8"/>
      <c r="H6" s="8"/>
    </row>
    <row r="7" spans="1:16" ht="15" customHeight="1">
      <c r="A7" s="161" t="s">
        <v>104</v>
      </c>
      <c r="B7" s="172"/>
      <c r="C7" s="173">
        <v>76627</v>
      </c>
      <c r="D7" s="174">
        <v>0.70445414847161569</v>
      </c>
      <c r="E7" s="174">
        <v>2.0115472722225376E-2</v>
      </c>
      <c r="F7" s="107">
        <v>0.17</v>
      </c>
      <c r="G7" s="8"/>
      <c r="H7" s="8"/>
    </row>
    <row r="8" spans="1:16" ht="15" customHeight="1">
      <c r="A8" s="162" t="s">
        <v>2</v>
      </c>
      <c r="B8" s="169"/>
      <c r="C8" s="176">
        <v>71861</v>
      </c>
      <c r="D8" s="177">
        <v>0.66063893357848769</v>
      </c>
      <c r="E8" s="177">
        <v>1.6841950124571972E-2</v>
      </c>
      <c r="F8" s="109">
        <v>0.21</v>
      </c>
      <c r="G8" s="8"/>
      <c r="H8" s="8"/>
    </row>
    <row r="9" spans="1:16" ht="15" customHeight="1">
      <c r="A9" s="161"/>
      <c r="B9" s="179" t="s">
        <v>93</v>
      </c>
      <c r="C9" s="180">
        <v>3735</v>
      </c>
      <c r="D9" s="181">
        <v>3.4336934038152148E-2</v>
      </c>
      <c r="E9" s="181">
        <v>1.3086955974036215E-2</v>
      </c>
      <c r="F9" s="199">
        <v>0.03</v>
      </c>
      <c r="G9" s="8"/>
      <c r="H9" s="8"/>
    </row>
    <row r="10" spans="1:16" ht="15" customHeight="1">
      <c r="A10" s="162"/>
      <c r="B10" s="183" t="s">
        <v>94</v>
      </c>
      <c r="C10" s="184">
        <v>3029</v>
      </c>
      <c r="D10" s="185">
        <v>2.784647207538497E-2</v>
      </c>
      <c r="E10" s="185">
        <v>6.1861682088567693E-3</v>
      </c>
      <c r="F10" s="200">
        <v>-0.05</v>
      </c>
      <c r="G10" s="8"/>
      <c r="H10" s="8"/>
    </row>
    <row r="11" spans="1:16" ht="15" customHeight="1">
      <c r="A11" s="161"/>
      <c r="B11" s="179" t="s">
        <v>95</v>
      </c>
      <c r="C11" s="180">
        <v>7144</v>
      </c>
      <c r="D11" s="181">
        <v>6.5676855895196506E-2</v>
      </c>
      <c r="E11" s="181">
        <v>2.3543288412159115E-2</v>
      </c>
      <c r="F11" s="199">
        <v>0.4</v>
      </c>
      <c r="G11" s="8"/>
      <c r="H11" s="8"/>
    </row>
    <row r="12" spans="1:16" ht="15" customHeight="1">
      <c r="A12" s="162"/>
      <c r="B12" s="183" t="s">
        <v>96</v>
      </c>
      <c r="C12" s="184">
        <v>11171</v>
      </c>
      <c r="D12" s="185">
        <v>0.10269823029188692</v>
      </c>
      <c r="E12" s="185">
        <v>2.9473105595927605E-2</v>
      </c>
      <c r="F12" s="200">
        <v>0.25</v>
      </c>
      <c r="G12" s="8"/>
      <c r="H12" s="8"/>
    </row>
    <row r="13" spans="1:16" ht="15" customHeight="1">
      <c r="A13" s="161"/>
      <c r="B13" s="179" t="s">
        <v>97</v>
      </c>
      <c r="C13" s="180">
        <v>5256</v>
      </c>
      <c r="D13" s="181">
        <v>4.8319926453688808E-2</v>
      </c>
      <c r="E13" s="181">
        <v>2.7761267071959347E-2</v>
      </c>
      <c r="F13" s="199">
        <v>0.41</v>
      </c>
      <c r="G13" s="8"/>
      <c r="H13" s="8"/>
    </row>
    <row r="14" spans="1:16" ht="15" customHeight="1">
      <c r="A14" s="162"/>
      <c r="B14" s="183" t="s">
        <v>98</v>
      </c>
      <c r="C14" s="184">
        <v>3091</v>
      </c>
      <c r="D14" s="185">
        <v>2.8416455987129396E-2</v>
      </c>
      <c r="E14" s="185">
        <v>2.0853823632111985E-2</v>
      </c>
      <c r="F14" s="200">
        <v>0.16</v>
      </c>
      <c r="G14" s="8"/>
      <c r="H14" s="8"/>
    </row>
    <row r="15" spans="1:16" ht="15" customHeight="1">
      <c r="A15" s="161"/>
      <c r="B15" s="179" t="s">
        <v>99</v>
      </c>
      <c r="C15" s="180">
        <v>10073</v>
      </c>
      <c r="D15" s="181">
        <v>9.2603999080671115E-2</v>
      </c>
      <c r="E15" s="181">
        <v>2.194441563117808E-2</v>
      </c>
      <c r="F15" s="199">
        <v>0.19</v>
      </c>
      <c r="G15" s="8"/>
      <c r="H15" s="8"/>
    </row>
    <row r="16" spans="1:16" ht="15" customHeight="1">
      <c r="A16" s="162"/>
      <c r="B16" s="183" t="s">
        <v>100</v>
      </c>
      <c r="C16" s="184">
        <v>19904</v>
      </c>
      <c r="D16" s="185">
        <v>0.18298322224775915</v>
      </c>
      <c r="E16" s="185">
        <v>3.8438900792371604E-2</v>
      </c>
      <c r="F16" s="200">
        <v>0.53</v>
      </c>
      <c r="G16" s="8"/>
      <c r="H16" s="8"/>
    </row>
    <row r="17" spans="1:8" ht="15" customHeight="1">
      <c r="A17" s="161"/>
      <c r="B17" s="179" t="s">
        <v>101</v>
      </c>
      <c r="C17" s="180">
        <v>248</v>
      </c>
      <c r="D17" s="181">
        <v>2.2799356469777061E-3</v>
      </c>
      <c r="E17" s="181">
        <v>2.170552500498496E-3</v>
      </c>
      <c r="F17" s="199">
        <v>0.02</v>
      </c>
      <c r="G17" s="8"/>
      <c r="H17" s="8"/>
    </row>
    <row r="18" spans="1:8" ht="15" customHeight="1">
      <c r="A18" s="162"/>
      <c r="B18" s="183" t="s">
        <v>102</v>
      </c>
      <c r="C18" s="184">
        <v>3980</v>
      </c>
      <c r="D18" s="185">
        <v>3.6589289818432541E-2</v>
      </c>
      <c r="E18" s="185">
        <v>1.9649783337649291E-2</v>
      </c>
      <c r="F18" s="200">
        <v>0.68</v>
      </c>
      <c r="G18" s="8"/>
      <c r="H18" s="8"/>
    </row>
    <row r="19" spans="1:8" ht="15" customHeight="1">
      <c r="A19" s="161"/>
      <c r="B19" s="179" t="s">
        <v>65</v>
      </c>
      <c r="C19" s="180">
        <v>4230</v>
      </c>
      <c r="D19" s="181">
        <v>3.888761204320846E-2</v>
      </c>
      <c r="E19" s="181">
        <v>3.5905396211034029E-3</v>
      </c>
      <c r="F19" s="199">
        <v>-0.01</v>
      </c>
      <c r="G19" s="8"/>
      <c r="H19" s="8"/>
    </row>
    <row r="20" spans="1:8" ht="15" customHeight="1">
      <c r="A20" s="162" t="s">
        <v>3</v>
      </c>
      <c r="B20" s="169"/>
      <c r="C20" s="176">
        <v>49</v>
      </c>
      <c r="D20" s="177">
        <v>4.5047115605607906E-4</v>
      </c>
      <c r="E20" s="177">
        <v>1.2038702160264972E-3</v>
      </c>
      <c r="F20" s="109">
        <v>0.02</v>
      </c>
      <c r="G20" s="8"/>
      <c r="H20" s="8"/>
    </row>
    <row r="21" spans="1:8" ht="15" customHeight="1">
      <c r="A21" s="161" t="s">
        <v>16</v>
      </c>
      <c r="B21" s="172"/>
      <c r="C21" s="173">
        <v>416</v>
      </c>
      <c r="D21" s="174">
        <v>3.82440818202712E-3</v>
      </c>
      <c r="E21" s="174">
        <v>3.4991982359991731E-3</v>
      </c>
      <c r="F21" s="107">
        <v>-0.02</v>
      </c>
      <c r="G21" s="8"/>
      <c r="H21" s="8"/>
    </row>
    <row r="22" spans="1:8" ht="15" customHeight="1">
      <c r="A22" s="162" t="s">
        <v>17</v>
      </c>
      <c r="B22" s="169"/>
      <c r="C22" s="176">
        <v>261</v>
      </c>
      <c r="D22" s="177">
        <v>2.3994484026660539E-3</v>
      </c>
      <c r="E22" s="177">
        <v>1.7189395275557253E-3</v>
      </c>
      <c r="F22" s="109">
        <v>-0.06</v>
      </c>
      <c r="G22" s="8"/>
      <c r="H22" s="8"/>
    </row>
    <row r="23" spans="1:8" ht="15" customHeight="1">
      <c r="A23" s="161" t="s">
        <v>4</v>
      </c>
      <c r="B23" s="172"/>
      <c r="C23" s="173">
        <v>8123</v>
      </c>
      <c r="D23" s="174">
        <v>7.467708572741899E-2</v>
      </c>
      <c r="E23" s="174">
        <v>8.5142424109312855E-3</v>
      </c>
      <c r="F23" s="107">
        <v>7.0000000000000007E-2</v>
      </c>
      <c r="G23" s="8"/>
      <c r="H23" s="8"/>
    </row>
    <row r="24" spans="1:8" ht="15" customHeight="1">
      <c r="A24" s="162"/>
      <c r="B24" s="183" t="s">
        <v>51</v>
      </c>
      <c r="C24" s="184">
        <v>5680</v>
      </c>
      <c r="D24" s="185">
        <v>5.2217880946908754E-2</v>
      </c>
      <c r="E24" s="185">
        <v>1.7972215738431874E-2</v>
      </c>
      <c r="F24" s="200">
        <v>0.08</v>
      </c>
      <c r="G24" s="8"/>
      <c r="H24" s="8"/>
    </row>
    <row r="25" spans="1:8" ht="15" customHeight="1">
      <c r="A25" s="161" t="s">
        <v>5</v>
      </c>
      <c r="B25" s="172"/>
      <c r="C25" s="173">
        <v>134</v>
      </c>
      <c r="D25" s="174">
        <v>1.2319007124798897E-3</v>
      </c>
      <c r="E25" s="174">
        <v>1.3011557207977165E-3</v>
      </c>
      <c r="F25" s="107">
        <v>0.02</v>
      </c>
      <c r="G25" s="8"/>
      <c r="H25" s="8"/>
    </row>
    <row r="26" spans="1:8" ht="15" customHeight="1">
      <c r="A26" s="162" t="s">
        <v>6</v>
      </c>
      <c r="B26" s="169"/>
      <c r="C26" s="176">
        <v>325</v>
      </c>
      <c r="D26" s="177">
        <v>2.9878188922086877E-3</v>
      </c>
      <c r="E26" s="177">
        <v>1.2137883528104867E-3</v>
      </c>
      <c r="F26" s="109">
        <v>0</v>
      </c>
      <c r="G26" s="8"/>
      <c r="H26" s="8"/>
    </row>
    <row r="27" spans="1:8" ht="15" customHeight="1">
      <c r="A27" s="161" t="s">
        <v>18</v>
      </c>
      <c r="B27" s="172"/>
      <c r="C27" s="173">
        <v>46</v>
      </c>
      <c r="D27" s="174">
        <v>4.2289128935876812E-4</v>
      </c>
      <c r="E27" s="174">
        <v>1.1623852835320929E-3</v>
      </c>
      <c r="F27" s="107">
        <v>0.02</v>
      </c>
      <c r="G27" s="8"/>
      <c r="H27" s="8"/>
    </row>
    <row r="28" spans="1:8" ht="15" customHeight="1">
      <c r="A28" s="162" t="s">
        <v>7</v>
      </c>
      <c r="B28" s="169"/>
      <c r="C28" s="176">
        <v>44</v>
      </c>
      <c r="D28" s="177">
        <v>4.0450471156056077E-4</v>
      </c>
      <c r="E28" s="177">
        <v>9.0634978420491626E-4</v>
      </c>
      <c r="F28" s="109">
        <v>-0.03</v>
      </c>
      <c r="G28" s="8"/>
      <c r="H28" s="8"/>
    </row>
    <row r="29" spans="1:8" ht="15" customHeight="1">
      <c r="A29" s="161" t="s">
        <v>21</v>
      </c>
      <c r="B29" s="172"/>
      <c r="C29" s="173">
        <v>80</v>
      </c>
      <c r="D29" s="174">
        <v>7.3546311192829237E-4</v>
      </c>
      <c r="E29" s="174">
        <v>7.958802642524448E-4</v>
      </c>
      <c r="F29" s="107">
        <v>0</v>
      </c>
      <c r="G29" s="8"/>
      <c r="H29" s="8"/>
    </row>
    <row r="30" spans="1:8" ht="15" customHeight="1">
      <c r="A30" s="162" t="s">
        <v>9</v>
      </c>
      <c r="B30" s="169"/>
      <c r="C30" s="176">
        <v>24</v>
      </c>
      <c r="D30" s="177">
        <v>2.2063893357848771E-4</v>
      </c>
      <c r="E30" s="177">
        <v>8.288467774341308E-4</v>
      </c>
      <c r="F30" s="109">
        <v>0</v>
      </c>
      <c r="G30" s="8"/>
      <c r="H30" s="8"/>
    </row>
    <row r="31" spans="1:8" ht="15" customHeight="1">
      <c r="A31" s="161" t="s">
        <v>8</v>
      </c>
      <c r="B31" s="172"/>
      <c r="C31" s="173">
        <v>4766</v>
      </c>
      <c r="D31" s="174">
        <v>4.3815214893128014E-2</v>
      </c>
      <c r="E31" s="174">
        <v>1.1013190479513348E-2</v>
      </c>
      <c r="F31" s="107">
        <v>0.15</v>
      </c>
      <c r="G31" s="8"/>
      <c r="H31" s="8"/>
    </row>
    <row r="32" spans="1:8" ht="15" customHeight="1">
      <c r="A32" s="162"/>
      <c r="B32" s="183" t="s">
        <v>53</v>
      </c>
      <c r="C32" s="184">
        <v>3605</v>
      </c>
      <c r="D32" s="185">
        <v>3.3141806481268674E-2</v>
      </c>
      <c r="E32" s="185">
        <v>1.7141836275979001E-2</v>
      </c>
      <c r="F32" s="200">
        <v>0.28999999999999998</v>
      </c>
      <c r="G32" s="8"/>
      <c r="H32" s="8"/>
    </row>
    <row r="33" spans="1:13" ht="15" customHeight="1">
      <c r="A33" s="161" t="s">
        <v>19</v>
      </c>
      <c r="B33" s="172"/>
      <c r="C33" s="173">
        <v>174</v>
      </c>
      <c r="D33" s="174">
        <v>1.5996322684440358E-3</v>
      </c>
      <c r="E33" s="174">
        <v>1.217072252624231E-3</v>
      </c>
      <c r="F33" s="107">
        <v>-0.02</v>
      </c>
      <c r="G33" s="8"/>
      <c r="H33" s="8"/>
    </row>
    <row r="34" spans="1:13" ht="15" customHeight="1">
      <c r="A34" s="162" t="s">
        <v>20</v>
      </c>
      <c r="B34" s="169"/>
      <c r="C34" s="176">
        <v>1094</v>
      </c>
      <c r="D34" s="177">
        <v>1.0057458055619398E-2</v>
      </c>
      <c r="E34" s="177">
        <v>5.7524048981194573E-3</v>
      </c>
      <c r="F34" s="109">
        <v>0.47</v>
      </c>
      <c r="G34" s="8"/>
      <c r="H34" s="8"/>
    </row>
    <row r="35" spans="1:13" ht="15" customHeight="1">
      <c r="A35" s="161" t="s">
        <v>22</v>
      </c>
      <c r="B35" s="172"/>
      <c r="C35" s="173">
        <v>412</v>
      </c>
      <c r="D35" s="174">
        <v>3.7876350264307054E-3</v>
      </c>
      <c r="E35" s="174">
        <v>1.950298291129223E-3</v>
      </c>
      <c r="F35" s="107">
        <v>-0.01</v>
      </c>
      <c r="G35" s="8"/>
      <c r="H35" s="8"/>
    </row>
    <row r="36" spans="1:13" ht="15" customHeight="1">
      <c r="A36" s="162" t="s">
        <v>10</v>
      </c>
      <c r="B36" s="169"/>
      <c r="C36" s="176">
        <v>69</v>
      </c>
      <c r="D36" s="177">
        <v>6.3433693403815215E-4</v>
      </c>
      <c r="E36" s="177">
        <v>6.1606770312476846E-4</v>
      </c>
      <c r="F36" s="109">
        <v>-0.02</v>
      </c>
      <c r="G36" s="8"/>
      <c r="H36" s="8"/>
    </row>
    <row r="37" spans="1:13" ht="15" customHeight="1">
      <c r="A37" s="161" t="s">
        <v>11</v>
      </c>
      <c r="B37" s="172"/>
      <c r="C37" s="173">
        <v>96</v>
      </c>
      <c r="D37" s="174">
        <v>8.8255573431395083E-4</v>
      </c>
      <c r="E37" s="174">
        <v>1.2680532136913477E-3</v>
      </c>
      <c r="F37" s="107">
        <v>0.01</v>
      </c>
      <c r="G37" s="8"/>
      <c r="H37" s="8"/>
    </row>
    <row r="38" spans="1:13" ht="15" customHeight="1">
      <c r="A38" s="162" t="s">
        <v>12</v>
      </c>
      <c r="B38" s="169"/>
      <c r="C38" s="176">
        <v>141</v>
      </c>
      <c r="D38" s="177">
        <v>1.2962537347736152E-3</v>
      </c>
      <c r="E38" s="177">
        <v>1.8202398943342822E-3</v>
      </c>
      <c r="F38" s="109">
        <v>-0.01</v>
      </c>
      <c r="G38" s="8"/>
      <c r="H38" s="8"/>
    </row>
    <row r="39" spans="1:13" ht="15" customHeight="1">
      <c r="A39" s="161" t="s">
        <v>23</v>
      </c>
      <c r="B39" s="172"/>
      <c r="C39" s="173">
        <v>33</v>
      </c>
      <c r="D39" s="174">
        <v>3.0337853367042061E-4</v>
      </c>
      <c r="E39" s="174">
        <v>5.1395791745710161E-4</v>
      </c>
      <c r="F39" s="107">
        <v>-0.01</v>
      </c>
      <c r="G39" s="8"/>
      <c r="H39" s="8"/>
    </row>
    <row r="40" spans="1:13" ht="15" customHeight="1">
      <c r="A40" s="162" t="s">
        <v>13</v>
      </c>
      <c r="B40" s="169"/>
      <c r="C40" s="176">
        <v>6705</v>
      </c>
      <c r="D40" s="177">
        <v>6.1641002068490006E-2</v>
      </c>
      <c r="E40" s="177">
        <v>7.5974313600630098E-3</v>
      </c>
      <c r="F40" s="109">
        <v>-0.04</v>
      </c>
      <c r="G40" s="8"/>
      <c r="H40" s="8"/>
    </row>
    <row r="41" spans="1:13" ht="15" customHeight="1">
      <c r="A41" s="161"/>
      <c r="B41" s="179" t="s">
        <v>50</v>
      </c>
      <c r="C41" s="180">
        <v>3661</v>
      </c>
      <c r="D41" s="181">
        <v>3.3656630659618478E-2</v>
      </c>
      <c r="E41" s="181">
        <v>1.5166905564065872E-2</v>
      </c>
      <c r="F41" s="199">
        <v>0</v>
      </c>
      <c r="G41" s="8"/>
      <c r="H41" s="8"/>
    </row>
    <row r="42" spans="1:13" ht="15" customHeight="1">
      <c r="A42" s="162" t="s">
        <v>14</v>
      </c>
      <c r="B42" s="169"/>
      <c r="C42" s="176">
        <v>77</v>
      </c>
      <c r="D42" s="177">
        <v>7.0788324523098143E-4</v>
      </c>
      <c r="E42" s="177">
        <v>1.0549111883553374E-3</v>
      </c>
      <c r="F42" s="109">
        <v>-0.01</v>
      </c>
      <c r="G42" s="8"/>
      <c r="H42" s="8"/>
    </row>
    <row r="43" spans="1:13" ht="15" customHeight="1">
      <c r="A43" s="161" t="s">
        <v>24</v>
      </c>
      <c r="B43" s="172"/>
      <c r="C43" s="173">
        <v>49</v>
      </c>
      <c r="D43" s="174">
        <v>4.5047115605607906E-4</v>
      </c>
      <c r="E43" s="174">
        <v>9.238904987727473E-4</v>
      </c>
      <c r="F43" s="113">
        <v>-0.01</v>
      </c>
      <c r="G43" s="8"/>
      <c r="H43" s="8"/>
    </row>
    <row r="44" spans="1:13" ht="15" customHeight="1">
      <c r="A44" s="162" t="s">
        <v>15</v>
      </c>
      <c r="B44" s="169"/>
      <c r="C44" s="176">
        <v>510</v>
      </c>
      <c r="D44" s="177">
        <v>4.6885773385428641E-3</v>
      </c>
      <c r="E44" s="177">
        <v>3.1221913869606604E-3</v>
      </c>
      <c r="F44" s="109">
        <v>-0.1</v>
      </c>
      <c r="G44" s="8"/>
      <c r="H44" s="8"/>
    </row>
    <row r="45" spans="1:13" ht="15" customHeight="1">
      <c r="A45" s="163" t="s">
        <v>25</v>
      </c>
      <c r="B45" s="187"/>
      <c r="C45" s="188">
        <v>62</v>
      </c>
      <c r="D45" s="189">
        <v>5.6998391174442652E-4</v>
      </c>
      <c r="E45" s="293" t="s">
        <v>106</v>
      </c>
      <c r="F45" s="294" t="s">
        <v>106</v>
      </c>
      <c r="G45" s="8"/>
      <c r="H45" s="8"/>
    </row>
    <row r="46" spans="1:13">
      <c r="A46" s="44"/>
      <c r="B46" s="44"/>
      <c r="C46" s="44"/>
      <c r="D46" s="44"/>
      <c r="E46" s="44"/>
      <c r="F46" s="44"/>
      <c r="H46" s="40"/>
      <c r="I46" s="44"/>
      <c r="J46" s="44"/>
      <c r="K46" s="44"/>
      <c r="L46" s="44"/>
      <c r="M46" s="44"/>
    </row>
    <row r="47" spans="1:13">
      <c r="A47" s="44" t="s">
        <v>143</v>
      </c>
      <c r="B47" s="44"/>
      <c r="C47" s="44"/>
      <c r="D47" s="44"/>
      <c r="E47" s="44"/>
      <c r="F47" s="44"/>
      <c r="H47" s="40"/>
      <c r="I47" s="44"/>
      <c r="J47" s="44"/>
      <c r="K47" s="44"/>
      <c r="L47" s="44"/>
      <c r="M47" s="44"/>
    </row>
    <row r="48" spans="1:13">
      <c r="A48" s="44"/>
      <c r="B48" s="44"/>
      <c r="C48" s="44"/>
      <c r="D48" s="44"/>
      <c r="E48" s="44"/>
      <c r="F48" s="44"/>
      <c r="H48" s="40"/>
      <c r="I48" s="44"/>
      <c r="J48" s="44"/>
      <c r="K48" s="44"/>
      <c r="L48" s="44"/>
      <c r="M48" s="44"/>
    </row>
    <row r="49" spans="1:13" ht="51" customHeight="1">
      <c r="A49" s="44" t="s">
        <v>129</v>
      </c>
      <c r="B49" s="44"/>
      <c r="C49" s="44" t="s">
        <v>142</v>
      </c>
      <c r="D49" s="44"/>
      <c r="E49" s="44"/>
      <c r="F49" s="44"/>
      <c r="H49" s="40"/>
      <c r="I49" s="44"/>
      <c r="J49" s="44"/>
      <c r="K49" s="44"/>
      <c r="L49" s="44"/>
      <c r="M49" s="44"/>
    </row>
    <row r="50" spans="1:13">
      <c r="A50" s="44"/>
      <c r="B50" s="44"/>
      <c r="C50" s="44" t="s">
        <v>66</v>
      </c>
      <c r="D50" s="44"/>
      <c r="E50" s="44"/>
      <c r="F50" s="44"/>
      <c r="H50" s="40"/>
      <c r="I50" s="44"/>
      <c r="J50" s="44"/>
      <c r="K50" s="44"/>
      <c r="L50" s="44"/>
      <c r="M50" s="44"/>
    </row>
    <row r="51" spans="1:13">
      <c r="A51" s="44"/>
      <c r="B51" s="44"/>
      <c r="C51" s="44" t="s">
        <v>67</v>
      </c>
      <c r="D51" s="44"/>
      <c r="E51" s="44"/>
      <c r="F51" s="44"/>
      <c r="H51" s="40"/>
      <c r="I51" s="44"/>
      <c r="J51" s="44"/>
      <c r="K51" s="44"/>
      <c r="L51" s="44"/>
      <c r="M51" s="44"/>
    </row>
    <row r="52" spans="1:13">
      <c r="A52" s="44"/>
      <c r="B52" s="44"/>
      <c r="C52" s="44" t="s">
        <v>74</v>
      </c>
      <c r="D52" s="44"/>
      <c r="E52" s="44"/>
      <c r="F52" s="44"/>
      <c r="H52" s="40"/>
      <c r="I52" s="44"/>
      <c r="J52" s="44"/>
      <c r="K52" s="44"/>
      <c r="L52" s="44"/>
      <c r="M52" s="44"/>
    </row>
    <row r="53" spans="1:13">
      <c r="A53" s="44"/>
      <c r="B53" s="44"/>
      <c r="C53" s="44" t="s">
        <v>68</v>
      </c>
      <c r="D53" s="44"/>
      <c r="E53" s="44"/>
      <c r="F53" s="44"/>
      <c r="H53" s="40"/>
      <c r="I53" s="44"/>
      <c r="J53" s="44"/>
      <c r="K53" s="44"/>
      <c r="L53" s="44"/>
      <c r="M53" s="44"/>
    </row>
    <row r="54" spans="1:13">
      <c r="A54" s="44"/>
      <c r="B54" s="44"/>
      <c r="C54" s="44" t="s">
        <v>69</v>
      </c>
      <c r="D54" s="44"/>
      <c r="E54" s="44"/>
      <c r="F54" s="44"/>
      <c r="H54" s="40"/>
      <c r="I54" s="44"/>
      <c r="J54" s="44"/>
      <c r="K54" s="44"/>
      <c r="L54" s="44"/>
      <c r="M54" s="44"/>
    </row>
    <row r="55" spans="1:13">
      <c r="A55" s="44"/>
      <c r="B55" s="44"/>
      <c r="C55" s="44" t="s">
        <v>70</v>
      </c>
      <c r="D55" s="44"/>
      <c r="E55" s="44"/>
      <c r="F55" s="44"/>
      <c r="H55" s="40"/>
      <c r="I55" s="44"/>
      <c r="J55" s="44"/>
      <c r="K55" s="44"/>
      <c r="L55" s="44"/>
      <c r="M55" s="44"/>
    </row>
    <row r="56" spans="1:13">
      <c r="A56" s="44"/>
      <c r="B56" s="44"/>
      <c r="C56" s="44" t="s">
        <v>71</v>
      </c>
      <c r="D56" s="44"/>
      <c r="E56" s="44"/>
      <c r="F56" s="44"/>
      <c r="H56" s="40"/>
      <c r="I56" s="44"/>
      <c r="J56" s="44"/>
      <c r="K56" s="44"/>
      <c r="L56" s="44"/>
      <c r="M56" s="44"/>
    </row>
    <row r="57" spans="1:13">
      <c r="A57" s="44"/>
      <c r="B57" s="44"/>
      <c r="C57" s="44" t="s">
        <v>72</v>
      </c>
      <c r="D57" s="44"/>
      <c r="E57" s="44"/>
      <c r="F57" s="44"/>
      <c r="H57" s="40"/>
      <c r="I57" s="44"/>
      <c r="J57" s="44"/>
      <c r="K57" s="44"/>
      <c r="L57" s="44"/>
      <c r="M57" s="44"/>
    </row>
    <row r="58" spans="1:13">
      <c r="A58" s="44"/>
      <c r="B58" s="44"/>
      <c r="C58" s="44"/>
      <c r="D58" s="44"/>
      <c r="E58" s="44"/>
      <c r="F58" s="44"/>
      <c r="H58" s="41"/>
      <c r="I58" s="44"/>
      <c r="J58" s="44"/>
      <c r="K58" s="44"/>
      <c r="L58" s="44"/>
      <c r="M58" s="44"/>
    </row>
    <row r="59" spans="1:13">
      <c r="A59" s="44"/>
      <c r="B59" s="44"/>
      <c r="C59" s="44"/>
      <c r="D59" s="44"/>
      <c r="E59" s="44"/>
      <c r="F59" s="44"/>
      <c r="H59" s="40"/>
      <c r="I59" s="44"/>
      <c r="J59" s="44"/>
      <c r="K59" s="44"/>
      <c r="L59" s="44"/>
      <c r="M59" s="44"/>
    </row>
    <row r="60" spans="1:13">
      <c r="A60" s="44"/>
      <c r="B60" s="44"/>
      <c r="C60" s="44"/>
      <c r="D60" s="44"/>
      <c r="E60" s="44"/>
      <c r="F60" s="44"/>
      <c r="G60" s="8"/>
      <c r="H60" s="8"/>
    </row>
  </sheetData>
  <mergeCells count="4">
    <mergeCell ref="A5:B5"/>
    <mergeCell ref="A4:B4"/>
    <mergeCell ref="A2:F2"/>
    <mergeCell ref="A1:F1"/>
  </mergeCells>
  <hyperlinks>
    <hyperlink ref="H1" location="INDICE!Área_de_impresión" display="INDICE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/>
  <dimension ref="A1:Q74"/>
  <sheetViews>
    <sheetView showGridLines="0" zoomScale="90" zoomScaleNormal="90" workbookViewId="0">
      <selection sqref="A1:O1"/>
    </sheetView>
  </sheetViews>
  <sheetFormatPr baseColWidth="10" defaultRowHeight="12.75"/>
  <cols>
    <col min="1" max="1" width="13.140625" style="8" customWidth="1"/>
    <col min="2" max="2" width="18.28515625" style="8" bestFit="1" customWidth="1"/>
    <col min="3" max="12" width="13.7109375" style="8" customWidth="1"/>
    <col min="13" max="15" width="13.7109375" style="14" customWidth="1"/>
    <col min="16" max="16" width="1.5703125" style="2" customWidth="1"/>
    <col min="17" max="17" width="11.42578125" style="2"/>
    <col min="18" max="16384" width="11.42578125" style="8"/>
  </cols>
  <sheetData>
    <row r="1" spans="1:17" s="30" customFormat="1" ht="30" customHeight="1">
      <c r="A1" s="323" t="s">
        <v>54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5"/>
      <c r="Q1" s="31" t="s">
        <v>134</v>
      </c>
    </row>
    <row r="2" spans="1:17" ht="30" customHeight="1">
      <c r="A2" s="328" t="s">
        <v>149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"/>
      <c r="O2" s="34"/>
      <c r="P2" s="19"/>
    </row>
    <row r="3" spans="1:17" ht="8.1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5"/>
      <c r="N3" s="45"/>
      <c r="O3" s="45"/>
      <c r="P3" s="40"/>
      <c r="Q3" s="40"/>
    </row>
    <row r="4" spans="1:17" ht="15" customHeight="1">
      <c r="A4" s="330" t="s">
        <v>224</v>
      </c>
      <c r="B4" s="331"/>
      <c r="C4" s="311" t="s">
        <v>284</v>
      </c>
      <c r="D4" s="312"/>
      <c r="E4" s="312"/>
      <c r="F4" s="312"/>
      <c r="G4" s="312"/>
      <c r="H4" s="312"/>
      <c r="I4" s="312"/>
      <c r="J4" s="312"/>
      <c r="K4" s="312"/>
      <c r="L4" s="313"/>
      <c r="M4" s="317" t="s">
        <v>285</v>
      </c>
      <c r="N4" s="287" t="s">
        <v>146</v>
      </c>
      <c r="O4" s="288" t="s">
        <v>146</v>
      </c>
      <c r="P4" s="8"/>
      <c r="Q4" s="8"/>
    </row>
    <row r="5" spans="1:17" ht="15" customHeight="1">
      <c r="A5" s="364"/>
      <c r="B5" s="320"/>
      <c r="C5" s="314"/>
      <c r="D5" s="315"/>
      <c r="E5" s="315"/>
      <c r="F5" s="315"/>
      <c r="G5" s="315"/>
      <c r="H5" s="315"/>
      <c r="I5" s="315"/>
      <c r="J5" s="315"/>
      <c r="K5" s="315"/>
      <c r="L5" s="316"/>
      <c r="M5" s="318"/>
      <c r="N5" s="285" t="s">
        <v>286</v>
      </c>
      <c r="O5" s="295" t="s">
        <v>287</v>
      </c>
      <c r="P5" s="8"/>
      <c r="Q5" s="8"/>
    </row>
    <row r="6" spans="1:17" ht="15" customHeight="1">
      <c r="A6" s="364"/>
      <c r="B6" s="320"/>
      <c r="C6" s="298">
        <v>2015</v>
      </c>
      <c r="D6" s="80">
        <v>2016</v>
      </c>
      <c r="E6" s="79">
        <v>2017</v>
      </c>
      <c r="F6" s="80">
        <v>2018</v>
      </c>
      <c r="G6" s="79">
        <v>2019</v>
      </c>
      <c r="H6" s="80">
        <v>2020</v>
      </c>
      <c r="I6" s="79">
        <v>2021</v>
      </c>
      <c r="J6" s="80">
        <v>2022</v>
      </c>
      <c r="K6" s="79">
        <v>2023</v>
      </c>
      <c r="L6" s="80">
        <v>2024</v>
      </c>
      <c r="M6" s="289" t="s">
        <v>76</v>
      </c>
      <c r="N6" s="289" t="s">
        <v>76</v>
      </c>
      <c r="O6" s="290" t="s">
        <v>76</v>
      </c>
      <c r="P6" s="8"/>
      <c r="Q6" s="8"/>
    </row>
    <row r="7" spans="1:17" s="5" customFormat="1" ht="15" customHeight="1">
      <c r="A7" s="349" t="s">
        <v>0</v>
      </c>
      <c r="B7" s="350"/>
      <c r="C7" s="192">
        <v>66872</v>
      </c>
      <c r="D7" s="192">
        <v>69988</v>
      </c>
      <c r="E7" s="192">
        <v>68320</v>
      </c>
      <c r="F7" s="192">
        <v>68736</v>
      </c>
      <c r="G7" s="192">
        <v>74237</v>
      </c>
      <c r="H7" s="192">
        <v>54257</v>
      </c>
      <c r="I7" s="192">
        <v>65867</v>
      </c>
      <c r="J7" s="192">
        <v>83572</v>
      </c>
      <c r="K7" s="192">
        <v>104051</v>
      </c>
      <c r="L7" s="192">
        <v>108775</v>
      </c>
      <c r="M7" s="191">
        <v>1</v>
      </c>
      <c r="N7" s="228">
        <v>4.5400813062824952E-2</v>
      </c>
      <c r="O7" s="299">
        <v>0.62661502572078009</v>
      </c>
    </row>
    <row r="8" spans="1:17" ht="15" customHeight="1">
      <c r="A8" s="160" t="s">
        <v>141</v>
      </c>
      <c r="B8" s="169"/>
      <c r="C8" s="170">
        <v>8927</v>
      </c>
      <c r="D8" s="170">
        <v>10131</v>
      </c>
      <c r="E8" s="170">
        <v>10255</v>
      </c>
      <c r="F8" s="170">
        <v>10155</v>
      </c>
      <c r="G8" s="170">
        <v>9009</v>
      </c>
      <c r="H8" s="170">
        <v>5713</v>
      </c>
      <c r="I8" s="170">
        <v>7765</v>
      </c>
      <c r="J8" s="170">
        <v>10831</v>
      </c>
      <c r="K8" s="170">
        <v>12781</v>
      </c>
      <c r="L8" s="170">
        <v>13224</v>
      </c>
      <c r="M8" s="236">
        <v>0.12157205240174672</v>
      </c>
      <c r="N8" s="236">
        <v>3.4660824661607137E-2</v>
      </c>
      <c r="O8" s="300">
        <v>0.48134871737425788</v>
      </c>
      <c r="P8" s="8"/>
      <c r="Q8" s="8"/>
    </row>
    <row r="9" spans="1:17" ht="15" customHeight="1">
      <c r="A9" s="161" t="s">
        <v>104</v>
      </c>
      <c r="B9" s="172"/>
      <c r="C9" s="173">
        <v>48369</v>
      </c>
      <c r="D9" s="173">
        <v>50603</v>
      </c>
      <c r="E9" s="173">
        <v>51067</v>
      </c>
      <c r="F9" s="173">
        <v>51012</v>
      </c>
      <c r="G9" s="173">
        <v>53967</v>
      </c>
      <c r="H9" s="173">
        <v>38200</v>
      </c>
      <c r="I9" s="173">
        <v>47482</v>
      </c>
      <c r="J9" s="173">
        <v>60083</v>
      </c>
      <c r="K9" s="173">
        <v>73333</v>
      </c>
      <c r="L9" s="173">
        <v>76627</v>
      </c>
      <c r="M9" s="237">
        <v>0.70445414847161569</v>
      </c>
      <c r="N9" s="237">
        <v>4.4918385992663623E-2</v>
      </c>
      <c r="O9" s="301">
        <v>0.58421716388596012</v>
      </c>
      <c r="P9" s="8"/>
      <c r="Q9" s="8"/>
    </row>
    <row r="10" spans="1:17" ht="15" customHeight="1">
      <c r="A10" s="162" t="s">
        <v>2</v>
      </c>
      <c r="B10" s="169"/>
      <c r="C10" s="176">
        <v>43794</v>
      </c>
      <c r="D10" s="176">
        <v>44330</v>
      </c>
      <c r="E10" s="176">
        <v>44707</v>
      </c>
      <c r="F10" s="176">
        <v>45011</v>
      </c>
      <c r="G10" s="176">
        <v>49665</v>
      </c>
      <c r="H10" s="176">
        <v>36144</v>
      </c>
      <c r="I10" s="176">
        <v>43964</v>
      </c>
      <c r="J10" s="176">
        <v>54493</v>
      </c>
      <c r="K10" s="176">
        <v>67650</v>
      </c>
      <c r="L10" s="176">
        <v>71861</v>
      </c>
      <c r="M10" s="238">
        <v>0.66063893357848769</v>
      </c>
      <c r="N10" s="238">
        <v>6.2246858832224694E-2</v>
      </c>
      <c r="O10" s="302">
        <v>0.64088687948120748</v>
      </c>
      <c r="P10" s="8"/>
      <c r="Q10" s="8"/>
    </row>
    <row r="11" spans="1:17" ht="15" customHeight="1">
      <c r="A11" s="161"/>
      <c r="B11" s="179" t="s">
        <v>93</v>
      </c>
      <c r="C11" s="180">
        <v>1772</v>
      </c>
      <c r="D11" s="180">
        <v>1867</v>
      </c>
      <c r="E11" s="180">
        <v>1923</v>
      </c>
      <c r="F11" s="180">
        <v>1925</v>
      </c>
      <c r="G11" s="180">
        <v>2446</v>
      </c>
      <c r="H11" s="180">
        <v>1831</v>
      </c>
      <c r="I11" s="180">
        <v>2145</v>
      </c>
      <c r="J11" s="180">
        <v>2968</v>
      </c>
      <c r="K11" s="180">
        <v>3683</v>
      </c>
      <c r="L11" s="180">
        <v>3735</v>
      </c>
      <c r="M11" s="239">
        <v>3.4336934038152148E-2</v>
      </c>
      <c r="N11" s="239">
        <v>1.4118924789573661E-2</v>
      </c>
      <c r="O11" s="303">
        <v>1.1077878103837473</v>
      </c>
      <c r="P11" s="8"/>
      <c r="Q11" s="8"/>
    </row>
    <row r="12" spans="1:17" ht="15" customHeight="1">
      <c r="A12" s="162"/>
      <c r="B12" s="183" t="s">
        <v>94</v>
      </c>
      <c r="C12" s="184">
        <v>3314</v>
      </c>
      <c r="D12" s="184">
        <v>3362</v>
      </c>
      <c r="E12" s="184">
        <v>3741</v>
      </c>
      <c r="F12" s="184">
        <v>3076</v>
      </c>
      <c r="G12" s="184">
        <v>3322</v>
      </c>
      <c r="H12" s="184">
        <v>2021</v>
      </c>
      <c r="I12" s="184">
        <v>2341</v>
      </c>
      <c r="J12" s="184">
        <v>3015</v>
      </c>
      <c r="K12" s="184">
        <v>3277</v>
      </c>
      <c r="L12" s="184">
        <v>3029</v>
      </c>
      <c r="M12" s="240">
        <v>2.784647207538497E-2</v>
      </c>
      <c r="N12" s="240">
        <v>-7.5678974671956056E-2</v>
      </c>
      <c r="O12" s="304">
        <v>-8.5998792999396501E-2</v>
      </c>
      <c r="P12" s="8"/>
      <c r="Q12" s="8"/>
    </row>
    <row r="13" spans="1:17" ht="15" customHeight="1">
      <c r="A13" s="161"/>
      <c r="B13" s="179" t="s">
        <v>95</v>
      </c>
      <c r="C13" s="180">
        <v>3844</v>
      </c>
      <c r="D13" s="180">
        <v>4426</v>
      </c>
      <c r="E13" s="180">
        <v>4073</v>
      </c>
      <c r="F13" s="180">
        <v>4304</v>
      </c>
      <c r="G13" s="180">
        <v>4709</v>
      </c>
      <c r="H13" s="180">
        <v>3390</v>
      </c>
      <c r="I13" s="180">
        <v>4201</v>
      </c>
      <c r="J13" s="180">
        <v>4785</v>
      </c>
      <c r="K13" s="180">
        <v>6446</v>
      </c>
      <c r="L13" s="180">
        <v>7144</v>
      </c>
      <c r="M13" s="239">
        <v>6.5676855895196506E-2</v>
      </c>
      <c r="N13" s="239">
        <v>0.10828420726031651</v>
      </c>
      <c r="O13" s="303">
        <v>0.85848074921956297</v>
      </c>
      <c r="P13" s="8"/>
      <c r="Q13" s="8"/>
    </row>
    <row r="14" spans="1:17" ht="15" customHeight="1">
      <c r="A14" s="162"/>
      <c r="B14" s="183" t="s">
        <v>96</v>
      </c>
      <c r="C14" s="184">
        <v>7583</v>
      </c>
      <c r="D14" s="184">
        <v>7231</v>
      </c>
      <c r="E14" s="184">
        <v>7261</v>
      </c>
      <c r="F14" s="184">
        <v>7012</v>
      </c>
      <c r="G14" s="184">
        <v>7288</v>
      </c>
      <c r="H14" s="184">
        <v>5378</v>
      </c>
      <c r="I14" s="184">
        <v>6537</v>
      </c>
      <c r="J14" s="184">
        <v>8671</v>
      </c>
      <c r="K14" s="184">
        <v>10914</v>
      </c>
      <c r="L14" s="184">
        <v>11171</v>
      </c>
      <c r="M14" s="240">
        <v>0.10269823029188692</v>
      </c>
      <c r="N14" s="240">
        <v>2.3547736851750045E-2</v>
      </c>
      <c r="O14" s="304">
        <v>0.47316365554529871</v>
      </c>
      <c r="P14" s="8"/>
      <c r="Q14" s="8"/>
    </row>
    <row r="15" spans="1:17" ht="15" customHeight="1">
      <c r="A15" s="161"/>
      <c r="B15" s="179" t="s">
        <v>97</v>
      </c>
      <c r="C15" s="180">
        <v>3325</v>
      </c>
      <c r="D15" s="180">
        <v>3612</v>
      </c>
      <c r="E15" s="180">
        <v>3252</v>
      </c>
      <c r="F15" s="180">
        <v>3292</v>
      </c>
      <c r="G15" s="180">
        <v>3276</v>
      </c>
      <c r="H15" s="180">
        <v>2383</v>
      </c>
      <c r="I15" s="180">
        <v>2816</v>
      </c>
      <c r="J15" s="180">
        <v>3902</v>
      </c>
      <c r="K15" s="180">
        <v>4758</v>
      </c>
      <c r="L15" s="180">
        <v>5256</v>
      </c>
      <c r="M15" s="239">
        <v>4.8319926453688808E-2</v>
      </c>
      <c r="N15" s="239">
        <v>0.10466582597730145</v>
      </c>
      <c r="O15" s="303">
        <v>0.58075187969924813</v>
      </c>
      <c r="P15" s="8"/>
      <c r="Q15" s="8"/>
    </row>
    <row r="16" spans="1:17" ht="15" customHeight="1">
      <c r="A16" s="162"/>
      <c r="B16" s="183" t="s">
        <v>98</v>
      </c>
      <c r="C16" s="184">
        <v>1647</v>
      </c>
      <c r="D16" s="184">
        <v>1890</v>
      </c>
      <c r="E16" s="184">
        <v>1871</v>
      </c>
      <c r="F16" s="184">
        <v>1904</v>
      </c>
      <c r="G16" s="184">
        <v>2356</v>
      </c>
      <c r="H16" s="184">
        <v>1544</v>
      </c>
      <c r="I16" s="184">
        <v>1778</v>
      </c>
      <c r="J16" s="184">
        <v>2625</v>
      </c>
      <c r="K16" s="184">
        <v>3089</v>
      </c>
      <c r="L16" s="184">
        <v>3091</v>
      </c>
      <c r="M16" s="240">
        <v>2.8416455987129396E-2</v>
      </c>
      <c r="N16" s="240">
        <v>6.4745872450622244E-4</v>
      </c>
      <c r="O16" s="304">
        <v>0.87674559805707353</v>
      </c>
      <c r="P16" s="8"/>
      <c r="Q16" s="8"/>
    </row>
    <row r="17" spans="1:17" ht="15" customHeight="1">
      <c r="A17" s="161"/>
      <c r="B17" s="179" t="s">
        <v>99</v>
      </c>
      <c r="C17" s="180">
        <v>6683</v>
      </c>
      <c r="D17" s="180">
        <v>6619</v>
      </c>
      <c r="E17" s="180">
        <v>7352</v>
      </c>
      <c r="F17" s="180">
        <v>7287</v>
      </c>
      <c r="G17" s="180">
        <v>8018</v>
      </c>
      <c r="H17" s="180">
        <v>5769</v>
      </c>
      <c r="I17" s="180">
        <v>7125</v>
      </c>
      <c r="J17" s="180">
        <v>8282</v>
      </c>
      <c r="K17" s="180">
        <v>9829</v>
      </c>
      <c r="L17" s="180">
        <v>10073</v>
      </c>
      <c r="M17" s="239">
        <v>9.2603999080671115E-2</v>
      </c>
      <c r="N17" s="239">
        <v>2.4824498931732553E-2</v>
      </c>
      <c r="O17" s="303">
        <v>0.50725721981146199</v>
      </c>
      <c r="P17" s="8"/>
      <c r="Q17" s="8"/>
    </row>
    <row r="18" spans="1:17" ht="15" customHeight="1">
      <c r="A18" s="162"/>
      <c r="B18" s="183" t="s">
        <v>100</v>
      </c>
      <c r="C18" s="184">
        <v>11274</v>
      </c>
      <c r="D18" s="184">
        <v>11466</v>
      </c>
      <c r="E18" s="184">
        <v>11339</v>
      </c>
      <c r="F18" s="184">
        <v>12057</v>
      </c>
      <c r="G18" s="184">
        <v>13544</v>
      </c>
      <c r="H18" s="184">
        <v>10171</v>
      </c>
      <c r="I18" s="184">
        <v>12774</v>
      </c>
      <c r="J18" s="184">
        <v>15005</v>
      </c>
      <c r="K18" s="184">
        <v>18556</v>
      </c>
      <c r="L18" s="184">
        <v>19904</v>
      </c>
      <c r="M18" s="240">
        <v>0.18298322224775915</v>
      </c>
      <c r="N18" s="240">
        <v>7.2644966587626536E-2</v>
      </c>
      <c r="O18" s="304">
        <v>0.7654780911832535</v>
      </c>
      <c r="P18" s="8"/>
      <c r="Q18" s="8"/>
    </row>
    <row r="19" spans="1:17" ht="15" customHeight="1">
      <c r="A19" s="161"/>
      <c r="B19" s="179" t="s">
        <v>101</v>
      </c>
      <c r="C19" s="180">
        <v>119</v>
      </c>
      <c r="D19" s="180">
        <v>115</v>
      </c>
      <c r="E19" s="180">
        <v>122</v>
      </c>
      <c r="F19" s="180">
        <v>91</v>
      </c>
      <c r="G19" s="180">
        <v>138</v>
      </c>
      <c r="H19" s="180">
        <v>91</v>
      </c>
      <c r="I19" s="180">
        <v>148</v>
      </c>
      <c r="J19" s="180">
        <v>183</v>
      </c>
      <c r="K19" s="180">
        <v>233</v>
      </c>
      <c r="L19" s="180">
        <v>248</v>
      </c>
      <c r="M19" s="239">
        <v>2.2799356469777061E-3</v>
      </c>
      <c r="N19" s="239">
        <v>6.4377682403433445E-2</v>
      </c>
      <c r="O19" s="303">
        <v>1.0840336134453783</v>
      </c>
      <c r="P19" s="8"/>
      <c r="Q19" s="8"/>
    </row>
    <row r="20" spans="1:17" ht="15" customHeight="1">
      <c r="A20" s="162"/>
      <c r="B20" s="183" t="s">
        <v>102</v>
      </c>
      <c r="C20" s="184">
        <v>1926</v>
      </c>
      <c r="D20" s="184">
        <v>1365</v>
      </c>
      <c r="E20" s="184">
        <v>1468</v>
      </c>
      <c r="F20" s="184">
        <v>1690</v>
      </c>
      <c r="G20" s="184">
        <v>2116</v>
      </c>
      <c r="H20" s="184">
        <v>1609</v>
      </c>
      <c r="I20" s="184">
        <v>1690</v>
      </c>
      <c r="J20" s="184">
        <v>1910</v>
      </c>
      <c r="K20" s="184">
        <v>2716</v>
      </c>
      <c r="L20" s="184">
        <v>3980</v>
      </c>
      <c r="M20" s="240">
        <v>3.6589289818432541E-2</v>
      </c>
      <c r="N20" s="240">
        <v>0.46539027982326941</v>
      </c>
      <c r="O20" s="304">
        <v>1.0664589823468327</v>
      </c>
      <c r="P20" s="8"/>
      <c r="Q20" s="8"/>
    </row>
    <row r="21" spans="1:17" ht="15" customHeight="1">
      <c r="A21" s="161"/>
      <c r="B21" s="179" t="s">
        <v>65</v>
      </c>
      <c r="C21" s="180">
        <v>2307</v>
      </c>
      <c r="D21" s="180">
        <v>2377</v>
      </c>
      <c r="E21" s="180">
        <v>2305</v>
      </c>
      <c r="F21" s="180">
        <v>2373</v>
      </c>
      <c r="G21" s="180">
        <v>2452</v>
      </c>
      <c r="H21" s="180">
        <v>1957</v>
      </c>
      <c r="I21" s="180">
        <v>2409</v>
      </c>
      <c r="J21" s="180">
        <v>3147</v>
      </c>
      <c r="K21" s="180">
        <v>4149</v>
      </c>
      <c r="L21" s="180">
        <v>4230</v>
      </c>
      <c r="M21" s="239">
        <v>3.888761204320846E-2</v>
      </c>
      <c r="N21" s="239">
        <v>1.952277657266821E-2</v>
      </c>
      <c r="O21" s="303">
        <v>0.83355006501950579</v>
      </c>
      <c r="P21" s="8"/>
      <c r="Q21" s="8"/>
    </row>
    <row r="22" spans="1:17" ht="15" customHeight="1">
      <c r="A22" s="162" t="s">
        <v>3</v>
      </c>
      <c r="B22" s="169"/>
      <c r="C22" s="176">
        <v>92</v>
      </c>
      <c r="D22" s="176">
        <v>78</v>
      </c>
      <c r="E22" s="176">
        <v>51</v>
      </c>
      <c r="F22" s="176">
        <v>51</v>
      </c>
      <c r="G22" s="176">
        <v>33</v>
      </c>
      <c r="H22" s="176">
        <v>17</v>
      </c>
      <c r="I22" s="176">
        <v>27</v>
      </c>
      <c r="J22" s="176">
        <v>34</v>
      </c>
      <c r="K22" s="176">
        <v>38</v>
      </c>
      <c r="L22" s="176">
        <v>49</v>
      </c>
      <c r="M22" s="238">
        <v>4.5047115605607906E-4</v>
      </c>
      <c r="N22" s="238">
        <v>0.28947368421052633</v>
      </c>
      <c r="O22" s="302">
        <v>-0.46739130434782605</v>
      </c>
      <c r="P22" s="8"/>
      <c r="Q22" s="8"/>
    </row>
    <row r="23" spans="1:17" ht="15" customHeight="1">
      <c r="A23" s="161" t="s">
        <v>16</v>
      </c>
      <c r="B23" s="172"/>
      <c r="C23" s="173">
        <v>284</v>
      </c>
      <c r="D23" s="173">
        <v>299</v>
      </c>
      <c r="E23" s="173">
        <v>250</v>
      </c>
      <c r="F23" s="173">
        <v>391</v>
      </c>
      <c r="G23" s="173">
        <v>317</v>
      </c>
      <c r="H23" s="173">
        <v>256</v>
      </c>
      <c r="I23" s="173">
        <v>239</v>
      </c>
      <c r="J23" s="173">
        <v>309</v>
      </c>
      <c r="K23" s="173">
        <v>486</v>
      </c>
      <c r="L23" s="173">
        <v>416</v>
      </c>
      <c r="M23" s="237">
        <v>3.82440818202712E-3</v>
      </c>
      <c r="N23" s="237">
        <v>-0.1440329218106996</v>
      </c>
      <c r="O23" s="301">
        <v>0.46478873239436624</v>
      </c>
      <c r="P23" s="8"/>
      <c r="Q23" s="8"/>
    </row>
    <row r="24" spans="1:17" ht="15" customHeight="1">
      <c r="A24" s="162" t="s">
        <v>17</v>
      </c>
      <c r="B24" s="169"/>
      <c r="C24" s="176">
        <v>200</v>
      </c>
      <c r="D24" s="176">
        <v>164</v>
      </c>
      <c r="E24" s="176">
        <v>186</v>
      </c>
      <c r="F24" s="176">
        <v>184</v>
      </c>
      <c r="G24" s="176">
        <v>183</v>
      </c>
      <c r="H24" s="176">
        <v>153</v>
      </c>
      <c r="I24" s="176">
        <v>206</v>
      </c>
      <c r="J24" s="176">
        <v>236</v>
      </c>
      <c r="K24" s="176">
        <v>327</v>
      </c>
      <c r="L24" s="176">
        <v>261</v>
      </c>
      <c r="M24" s="238">
        <v>2.3994484026660539E-3</v>
      </c>
      <c r="N24" s="238">
        <v>-0.20183486238532111</v>
      </c>
      <c r="O24" s="302">
        <v>0.30499999999999994</v>
      </c>
      <c r="P24" s="8"/>
      <c r="Q24" s="8"/>
    </row>
    <row r="25" spans="1:17" ht="15" customHeight="1">
      <c r="A25" s="161" t="s">
        <v>4</v>
      </c>
      <c r="B25" s="172"/>
      <c r="C25" s="173">
        <v>4598</v>
      </c>
      <c r="D25" s="173">
        <v>5307</v>
      </c>
      <c r="E25" s="173">
        <v>4597</v>
      </c>
      <c r="F25" s="173">
        <v>4251</v>
      </c>
      <c r="G25" s="173">
        <v>4741</v>
      </c>
      <c r="H25" s="173">
        <v>3763</v>
      </c>
      <c r="I25" s="173">
        <v>4314</v>
      </c>
      <c r="J25" s="173">
        <v>5857</v>
      </c>
      <c r="K25" s="173">
        <v>7598</v>
      </c>
      <c r="L25" s="173">
        <v>8123</v>
      </c>
      <c r="M25" s="237">
        <v>7.467708572741899E-2</v>
      </c>
      <c r="N25" s="237">
        <v>6.909713082390101E-2</v>
      </c>
      <c r="O25" s="301">
        <v>0.76663766855154414</v>
      </c>
      <c r="P25" s="8"/>
      <c r="Q25" s="8"/>
    </row>
    <row r="26" spans="1:17" ht="15" customHeight="1">
      <c r="A26" s="162"/>
      <c r="B26" s="183" t="s">
        <v>51</v>
      </c>
      <c r="C26" s="184">
        <v>3982</v>
      </c>
      <c r="D26" s="184">
        <v>4490</v>
      </c>
      <c r="E26" s="184">
        <v>3853</v>
      </c>
      <c r="F26" s="184">
        <v>3569</v>
      </c>
      <c r="G26" s="184">
        <v>3960</v>
      </c>
      <c r="H26" s="184">
        <v>2777</v>
      </c>
      <c r="I26" s="184">
        <v>2987</v>
      </c>
      <c r="J26" s="184">
        <v>4141</v>
      </c>
      <c r="K26" s="184">
        <v>5421</v>
      </c>
      <c r="L26" s="184">
        <v>5680</v>
      </c>
      <c r="M26" s="240">
        <v>5.2217880946908754E-2</v>
      </c>
      <c r="N26" s="240">
        <v>4.7777162885076496E-2</v>
      </c>
      <c r="O26" s="304">
        <v>0.42641888498242086</v>
      </c>
      <c r="P26" s="8"/>
      <c r="Q26" s="8"/>
    </row>
    <row r="27" spans="1:17" ht="15" customHeight="1">
      <c r="A27" s="161" t="s">
        <v>5</v>
      </c>
      <c r="B27" s="172"/>
      <c r="C27" s="173">
        <v>80</v>
      </c>
      <c r="D27" s="173">
        <v>97</v>
      </c>
      <c r="E27" s="173">
        <v>76</v>
      </c>
      <c r="F27" s="173">
        <v>104</v>
      </c>
      <c r="G27" s="173">
        <v>93</v>
      </c>
      <c r="H27" s="173">
        <v>85</v>
      </c>
      <c r="I27" s="173">
        <v>67</v>
      </c>
      <c r="J27" s="173">
        <v>88</v>
      </c>
      <c r="K27" s="173">
        <v>121</v>
      </c>
      <c r="L27" s="173">
        <v>134</v>
      </c>
      <c r="M27" s="237">
        <v>1.2319007124798897E-3</v>
      </c>
      <c r="N27" s="237">
        <v>0.10743801652892571</v>
      </c>
      <c r="O27" s="301">
        <v>0.67500000000000004</v>
      </c>
      <c r="P27" s="8"/>
      <c r="Q27" s="8"/>
    </row>
    <row r="28" spans="1:17" ht="15" customHeight="1">
      <c r="A28" s="162" t="s">
        <v>6</v>
      </c>
      <c r="B28" s="169"/>
      <c r="C28" s="176">
        <v>235</v>
      </c>
      <c r="D28" s="176">
        <v>179</v>
      </c>
      <c r="E28" s="176">
        <v>187</v>
      </c>
      <c r="F28" s="176">
        <v>210</v>
      </c>
      <c r="G28" s="176">
        <v>215</v>
      </c>
      <c r="H28" s="176">
        <v>170</v>
      </c>
      <c r="I28" s="176">
        <v>188</v>
      </c>
      <c r="J28" s="176">
        <v>247</v>
      </c>
      <c r="K28" s="176">
        <v>324</v>
      </c>
      <c r="L28" s="176">
        <v>325</v>
      </c>
      <c r="M28" s="238">
        <v>2.9878188922086877E-3</v>
      </c>
      <c r="N28" s="238">
        <v>3.0864197530864335E-3</v>
      </c>
      <c r="O28" s="302">
        <v>0.38297872340425543</v>
      </c>
      <c r="P28" s="8"/>
      <c r="Q28" s="8"/>
    </row>
    <row r="29" spans="1:17" ht="15" customHeight="1">
      <c r="A29" s="161" t="s">
        <v>18</v>
      </c>
      <c r="B29" s="172"/>
      <c r="C29" s="173">
        <v>42</v>
      </c>
      <c r="D29" s="173">
        <v>40</v>
      </c>
      <c r="E29" s="173">
        <v>55</v>
      </c>
      <c r="F29" s="173">
        <v>40</v>
      </c>
      <c r="G29" s="173">
        <v>68</v>
      </c>
      <c r="H29" s="173">
        <v>42</v>
      </c>
      <c r="I29" s="173">
        <v>53</v>
      </c>
      <c r="J29" s="173">
        <v>61</v>
      </c>
      <c r="K29" s="173">
        <v>44</v>
      </c>
      <c r="L29" s="173">
        <v>46</v>
      </c>
      <c r="M29" s="237">
        <v>4.2289128935876812E-4</v>
      </c>
      <c r="N29" s="237">
        <v>4.5454545454545414E-2</v>
      </c>
      <c r="O29" s="301">
        <v>9.5238095238095344E-2</v>
      </c>
      <c r="P29" s="8"/>
      <c r="Q29" s="8"/>
    </row>
    <row r="30" spans="1:17" ht="15" customHeight="1">
      <c r="A30" s="162" t="s">
        <v>7</v>
      </c>
      <c r="B30" s="169"/>
      <c r="C30" s="176">
        <v>52</v>
      </c>
      <c r="D30" s="176">
        <v>62</v>
      </c>
      <c r="E30" s="176">
        <v>63</v>
      </c>
      <c r="F30" s="176">
        <v>79</v>
      </c>
      <c r="G30" s="176">
        <v>60</v>
      </c>
      <c r="H30" s="176">
        <v>52</v>
      </c>
      <c r="I30" s="176">
        <v>126</v>
      </c>
      <c r="J30" s="176">
        <v>50</v>
      </c>
      <c r="K30" s="176">
        <v>54</v>
      </c>
      <c r="L30" s="176">
        <v>44</v>
      </c>
      <c r="M30" s="238">
        <v>4.0450471156056077E-4</v>
      </c>
      <c r="N30" s="238">
        <v>-0.18518518518518523</v>
      </c>
      <c r="O30" s="302">
        <v>-0.15384615384615385</v>
      </c>
      <c r="P30" s="8"/>
      <c r="Q30" s="8"/>
    </row>
    <row r="31" spans="1:17" ht="15" customHeight="1">
      <c r="A31" s="161" t="s">
        <v>21</v>
      </c>
      <c r="B31" s="172"/>
      <c r="C31" s="173">
        <v>60</v>
      </c>
      <c r="D31" s="173">
        <v>59</v>
      </c>
      <c r="E31" s="173">
        <v>53</v>
      </c>
      <c r="F31" s="173">
        <v>47</v>
      </c>
      <c r="G31" s="173">
        <v>71</v>
      </c>
      <c r="H31" s="173">
        <v>36</v>
      </c>
      <c r="I31" s="173">
        <v>53</v>
      </c>
      <c r="J31" s="173">
        <v>50</v>
      </c>
      <c r="K31" s="173">
        <v>76</v>
      </c>
      <c r="L31" s="173">
        <v>80</v>
      </c>
      <c r="M31" s="237">
        <v>7.3546311192829237E-4</v>
      </c>
      <c r="N31" s="237">
        <v>5.2631578947368363E-2</v>
      </c>
      <c r="O31" s="301">
        <v>0.33333333333333326</v>
      </c>
      <c r="P31" s="8"/>
      <c r="Q31" s="8"/>
    </row>
    <row r="32" spans="1:17" ht="15" customHeight="1">
      <c r="A32" s="162" t="s">
        <v>9</v>
      </c>
      <c r="B32" s="169"/>
      <c r="C32" s="176">
        <v>23</v>
      </c>
      <c r="D32" s="176">
        <v>39</v>
      </c>
      <c r="E32" s="176">
        <v>35</v>
      </c>
      <c r="F32" s="176">
        <v>34</v>
      </c>
      <c r="G32" s="176">
        <v>31</v>
      </c>
      <c r="H32" s="176">
        <v>10</v>
      </c>
      <c r="I32" s="176">
        <v>10</v>
      </c>
      <c r="J32" s="176">
        <v>24</v>
      </c>
      <c r="K32" s="176">
        <v>22</v>
      </c>
      <c r="L32" s="176">
        <v>24</v>
      </c>
      <c r="M32" s="238">
        <v>2.2063893357848771E-4</v>
      </c>
      <c r="N32" s="238">
        <v>9.0909090909090828E-2</v>
      </c>
      <c r="O32" s="302">
        <v>4.3478260869565188E-2</v>
      </c>
      <c r="P32" s="8"/>
      <c r="Q32" s="8"/>
    </row>
    <row r="33" spans="1:17" ht="15" customHeight="1">
      <c r="A33" s="161" t="s">
        <v>8</v>
      </c>
      <c r="B33" s="172"/>
      <c r="C33" s="173">
        <v>3389</v>
      </c>
      <c r="D33" s="173">
        <v>3527</v>
      </c>
      <c r="E33" s="173">
        <v>2954</v>
      </c>
      <c r="F33" s="173">
        <v>2880</v>
      </c>
      <c r="G33" s="173">
        <v>3173</v>
      </c>
      <c r="H33" s="173">
        <v>2235</v>
      </c>
      <c r="I33" s="173">
        <v>2498</v>
      </c>
      <c r="J33" s="173">
        <v>3180</v>
      </c>
      <c r="K33" s="173">
        <v>4331</v>
      </c>
      <c r="L33" s="173">
        <v>4766</v>
      </c>
      <c r="M33" s="237">
        <v>4.3815214893128014E-2</v>
      </c>
      <c r="N33" s="237">
        <v>0.10043869776033243</v>
      </c>
      <c r="O33" s="301">
        <v>0.40631454706403058</v>
      </c>
      <c r="P33" s="8"/>
      <c r="Q33" s="8"/>
    </row>
    <row r="34" spans="1:17" ht="15" customHeight="1">
      <c r="A34" s="162"/>
      <c r="B34" s="183" t="s">
        <v>53</v>
      </c>
      <c r="C34" s="184">
        <v>2875</v>
      </c>
      <c r="D34" s="184">
        <v>2970</v>
      </c>
      <c r="E34" s="184">
        <v>2513</v>
      </c>
      <c r="F34" s="184">
        <v>2422</v>
      </c>
      <c r="G34" s="184">
        <v>2600</v>
      </c>
      <c r="H34" s="184">
        <v>1776</v>
      </c>
      <c r="I34" s="184">
        <v>1937</v>
      </c>
      <c r="J34" s="184">
        <v>2466</v>
      </c>
      <c r="K34" s="184">
        <v>3376</v>
      </c>
      <c r="L34" s="184">
        <v>3605</v>
      </c>
      <c r="M34" s="240">
        <v>3.3141806481268674E-2</v>
      </c>
      <c r="N34" s="240">
        <v>6.7831753554502328E-2</v>
      </c>
      <c r="O34" s="304">
        <v>0.25391304347826082</v>
      </c>
      <c r="P34" s="8"/>
      <c r="Q34" s="8"/>
    </row>
    <row r="35" spans="1:17" ht="15" customHeight="1">
      <c r="A35" s="161" t="s">
        <v>19</v>
      </c>
      <c r="B35" s="172"/>
      <c r="C35" s="173">
        <v>122</v>
      </c>
      <c r="D35" s="173">
        <v>183</v>
      </c>
      <c r="E35" s="173">
        <v>148</v>
      </c>
      <c r="F35" s="173">
        <v>128</v>
      </c>
      <c r="G35" s="173">
        <v>145</v>
      </c>
      <c r="H35" s="173">
        <v>123</v>
      </c>
      <c r="I35" s="173">
        <v>141</v>
      </c>
      <c r="J35" s="173">
        <v>155</v>
      </c>
      <c r="K35" s="173">
        <v>190</v>
      </c>
      <c r="L35" s="173">
        <v>174</v>
      </c>
      <c r="M35" s="237">
        <v>1.5996322684440358E-3</v>
      </c>
      <c r="N35" s="237">
        <v>-8.4210526315789513E-2</v>
      </c>
      <c r="O35" s="301">
        <v>0.42622950819672134</v>
      </c>
      <c r="P35" s="8"/>
      <c r="Q35" s="8"/>
    </row>
    <row r="36" spans="1:17" ht="15" customHeight="1">
      <c r="A36" s="162" t="s">
        <v>20</v>
      </c>
      <c r="B36" s="169"/>
      <c r="C36" s="176">
        <v>718</v>
      </c>
      <c r="D36" s="176">
        <v>773</v>
      </c>
      <c r="E36" s="176">
        <v>599</v>
      </c>
      <c r="F36" s="176">
        <v>620</v>
      </c>
      <c r="G36" s="176">
        <v>670</v>
      </c>
      <c r="H36" s="176">
        <v>557</v>
      </c>
      <c r="I36" s="176">
        <v>665</v>
      </c>
      <c r="J36" s="176">
        <v>815</v>
      </c>
      <c r="K36" s="176">
        <v>999</v>
      </c>
      <c r="L36" s="176">
        <v>1094</v>
      </c>
      <c r="M36" s="238">
        <v>1.0057458055619398E-2</v>
      </c>
      <c r="N36" s="238">
        <v>9.5095095095095061E-2</v>
      </c>
      <c r="O36" s="302">
        <v>0.52367688022284131</v>
      </c>
      <c r="P36" s="8"/>
      <c r="Q36" s="8"/>
    </row>
    <row r="37" spans="1:17" ht="15" customHeight="1">
      <c r="A37" s="161" t="s">
        <v>22</v>
      </c>
      <c r="B37" s="172"/>
      <c r="C37" s="173">
        <v>225</v>
      </c>
      <c r="D37" s="173">
        <v>242</v>
      </c>
      <c r="E37" s="173">
        <v>318</v>
      </c>
      <c r="F37" s="173">
        <v>305</v>
      </c>
      <c r="G37" s="173">
        <v>260</v>
      </c>
      <c r="H37" s="173">
        <v>221</v>
      </c>
      <c r="I37" s="173">
        <v>244</v>
      </c>
      <c r="J37" s="173">
        <v>321</v>
      </c>
      <c r="K37" s="173">
        <v>409</v>
      </c>
      <c r="L37" s="173">
        <v>412</v>
      </c>
      <c r="M37" s="237">
        <v>3.7876350264307054E-3</v>
      </c>
      <c r="N37" s="237">
        <v>7.3349633251833524E-3</v>
      </c>
      <c r="O37" s="301">
        <v>0.83111111111111113</v>
      </c>
      <c r="P37" s="8"/>
      <c r="Q37" s="8"/>
    </row>
    <row r="38" spans="1:17" ht="15" customHeight="1">
      <c r="A38" s="162" t="s">
        <v>10</v>
      </c>
      <c r="B38" s="169"/>
      <c r="C38" s="176">
        <v>13</v>
      </c>
      <c r="D38" s="176">
        <v>23</v>
      </c>
      <c r="E38" s="176">
        <v>18</v>
      </c>
      <c r="F38" s="176">
        <v>26</v>
      </c>
      <c r="G38" s="176">
        <v>46</v>
      </c>
      <c r="H38" s="176">
        <v>50</v>
      </c>
      <c r="I38" s="176">
        <v>52</v>
      </c>
      <c r="J38" s="176">
        <v>66</v>
      </c>
      <c r="K38" s="176">
        <v>81</v>
      </c>
      <c r="L38" s="176">
        <v>69</v>
      </c>
      <c r="M38" s="238">
        <v>6.3433693403815215E-4</v>
      </c>
      <c r="N38" s="238">
        <v>-0.14814814814814814</v>
      </c>
      <c r="O38" s="302">
        <v>4.3076923076923075</v>
      </c>
      <c r="P38" s="8"/>
      <c r="Q38" s="8"/>
    </row>
    <row r="39" spans="1:17" ht="15" customHeight="1">
      <c r="A39" s="161" t="s">
        <v>11</v>
      </c>
      <c r="B39" s="172"/>
      <c r="C39" s="173">
        <v>84</v>
      </c>
      <c r="D39" s="173">
        <v>121</v>
      </c>
      <c r="E39" s="173">
        <v>90</v>
      </c>
      <c r="F39" s="173">
        <v>73</v>
      </c>
      <c r="G39" s="173">
        <v>63</v>
      </c>
      <c r="H39" s="173">
        <v>46</v>
      </c>
      <c r="I39" s="173">
        <v>58</v>
      </c>
      <c r="J39" s="173">
        <v>95</v>
      </c>
      <c r="K39" s="173">
        <v>82</v>
      </c>
      <c r="L39" s="173">
        <v>96</v>
      </c>
      <c r="M39" s="237">
        <v>8.8255573431395083E-4</v>
      </c>
      <c r="N39" s="237">
        <v>0.1707317073170731</v>
      </c>
      <c r="O39" s="301">
        <v>0.14285714285714279</v>
      </c>
      <c r="P39" s="8"/>
      <c r="Q39" s="8"/>
    </row>
    <row r="40" spans="1:17" ht="15" customHeight="1">
      <c r="A40" s="162" t="s">
        <v>12</v>
      </c>
      <c r="B40" s="169"/>
      <c r="C40" s="176">
        <v>94</v>
      </c>
      <c r="D40" s="176">
        <v>151</v>
      </c>
      <c r="E40" s="176">
        <v>106</v>
      </c>
      <c r="F40" s="176">
        <v>129</v>
      </c>
      <c r="G40" s="176">
        <v>154</v>
      </c>
      <c r="H40" s="176">
        <v>95</v>
      </c>
      <c r="I40" s="176">
        <v>77</v>
      </c>
      <c r="J40" s="176">
        <v>122</v>
      </c>
      <c r="K40" s="176">
        <v>153</v>
      </c>
      <c r="L40" s="176">
        <v>141</v>
      </c>
      <c r="M40" s="238">
        <v>1.2962537347736152E-3</v>
      </c>
      <c r="N40" s="238">
        <v>-7.8431372549019662E-2</v>
      </c>
      <c r="O40" s="302">
        <v>0.5</v>
      </c>
      <c r="P40" s="8"/>
      <c r="Q40" s="8"/>
    </row>
    <row r="41" spans="1:17" ht="15" customHeight="1">
      <c r="A41" s="161" t="s">
        <v>23</v>
      </c>
      <c r="B41" s="172"/>
      <c r="C41" s="173">
        <v>29</v>
      </c>
      <c r="D41" s="173">
        <v>44</v>
      </c>
      <c r="E41" s="173">
        <v>40</v>
      </c>
      <c r="F41" s="173">
        <v>42</v>
      </c>
      <c r="G41" s="173">
        <v>38</v>
      </c>
      <c r="H41" s="173">
        <v>22</v>
      </c>
      <c r="I41" s="173">
        <v>33</v>
      </c>
      <c r="J41" s="173">
        <v>34</v>
      </c>
      <c r="K41" s="173">
        <v>37</v>
      </c>
      <c r="L41" s="173">
        <v>33</v>
      </c>
      <c r="M41" s="237">
        <v>3.0337853367042061E-4</v>
      </c>
      <c r="N41" s="237">
        <v>-0.10810810810810811</v>
      </c>
      <c r="O41" s="301">
        <v>0.13793103448275867</v>
      </c>
      <c r="P41" s="8"/>
      <c r="Q41" s="8"/>
    </row>
    <row r="42" spans="1:17" ht="15" customHeight="1">
      <c r="A42" s="162" t="s">
        <v>13</v>
      </c>
      <c r="B42" s="169"/>
      <c r="C42" s="176">
        <v>3433</v>
      </c>
      <c r="D42" s="176">
        <v>3574</v>
      </c>
      <c r="E42" s="176">
        <v>3004</v>
      </c>
      <c r="F42" s="176">
        <v>3368</v>
      </c>
      <c r="G42" s="176">
        <v>4567</v>
      </c>
      <c r="H42" s="176">
        <v>3911</v>
      </c>
      <c r="I42" s="176">
        <v>4474</v>
      </c>
      <c r="J42" s="176">
        <v>5555</v>
      </c>
      <c r="K42" s="176">
        <v>7343</v>
      </c>
      <c r="L42" s="176">
        <v>6705</v>
      </c>
      <c r="M42" s="238">
        <v>6.1641002068490006E-2</v>
      </c>
      <c r="N42" s="238">
        <v>-8.6885469154296624E-2</v>
      </c>
      <c r="O42" s="302">
        <v>0.95310224293620749</v>
      </c>
      <c r="P42" s="8"/>
      <c r="Q42" s="8"/>
    </row>
    <row r="43" spans="1:17" ht="15" customHeight="1">
      <c r="A43" s="161"/>
      <c r="B43" s="179" t="s">
        <v>50</v>
      </c>
      <c r="C43" s="180">
        <v>2286</v>
      </c>
      <c r="D43" s="180">
        <v>2304</v>
      </c>
      <c r="E43" s="180">
        <v>1773</v>
      </c>
      <c r="F43" s="180">
        <v>2006</v>
      </c>
      <c r="G43" s="180">
        <v>2723</v>
      </c>
      <c r="H43" s="180">
        <v>2387</v>
      </c>
      <c r="I43" s="180">
        <v>2360</v>
      </c>
      <c r="J43" s="180">
        <v>3231</v>
      </c>
      <c r="K43" s="180">
        <v>4209</v>
      </c>
      <c r="L43" s="180">
        <v>3661</v>
      </c>
      <c r="M43" s="239">
        <v>3.3656630659618478E-2</v>
      </c>
      <c r="N43" s="239">
        <v>-0.1301971964837253</v>
      </c>
      <c r="O43" s="303">
        <v>0.6014873140857393</v>
      </c>
      <c r="P43" s="8"/>
      <c r="Q43" s="8"/>
    </row>
    <row r="44" spans="1:17" ht="15" customHeight="1">
      <c r="A44" s="162" t="s">
        <v>14</v>
      </c>
      <c r="B44" s="169"/>
      <c r="C44" s="176">
        <v>51</v>
      </c>
      <c r="D44" s="176">
        <v>67</v>
      </c>
      <c r="E44" s="176">
        <v>80</v>
      </c>
      <c r="F44" s="176">
        <v>70</v>
      </c>
      <c r="G44" s="176">
        <v>60</v>
      </c>
      <c r="H44" s="176">
        <v>53</v>
      </c>
      <c r="I44" s="176">
        <v>63</v>
      </c>
      <c r="J44" s="176">
        <v>109</v>
      </c>
      <c r="K44" s="176">
        <v>84</v>
      </c>
      <c r="L44" s="176">
        <v>77</v>
      </c>
      <c r="M44" s="238">
        <v>7.0788324523098143E-4</v>
      </c>
      <c r="N44" s="238">
        <v>-8.333333333333337E-2</v>
      </c>
      <c r="O44" s="302">
        <v>0.50980392156862742</v>
      </c>
      <c r="P44" s="8"/>
      <c r="Q44" s="8"/>
    </row>
    <row r="45" spans="1:17" ht="15" customHeight="1">
      <c r="A45" s="161" t="s">
        <v>24</v>
      </c>
      <c r="B45" s="172"/>
      <c r="C45" s="173">
        <v>15</v>
      </c>
      <c r="D45" s="173">
        <v>32</v>
      </c>
      <c r="E45" s="173">
        <v>27</v>
      </c>
      <c r="F45" s="173">
        <v>40</v>
      </c>
      <c r="G45" s="173">
        <v>29</v>
      </c>
      <c r="H45" s="173">
        <v>24</v>
      </c>
      <c r="I45" s="173">
        <v>26</v>
      </c>
      <c r="J45" s="173">
        <v>41</v>
      </c>
      <c r="K45" s="173">
        <v>44</v>
      </c>
      <c r="L45" s="173">
        <v>49</v>
      </c>
      <c r="M45" s="237">
        <v>4.5047115605607906E-4</v>
      </c>
      <c r="N45" s="237">
        <v>0.11363636363636354</v>
      </c>
      <c r="O45" s="301">
        <v>2.2666666666666666</v>
      </c>
      <c r="P45" s="8"/>
      <c r="Q45" s="8"/>
    </row>
    <row r="46" spans="1:17" ht="15" customHeight="1">
      <c r="A46" s="162" t="s">
        <v>15</v>
      </c>
      <c r="B46" s="169"/>
      <c r="C46" s="176">
        <v>260</v>
      </c>
      <c r="D46" s="176">
        <v>372</v>
      </c>
      <c r="E46" s="176">
        <v>334</v>
      </c>
      <c r="F46" s="176">
        <v>425</v>
      </c>
      <c r="G46" s="176">
        <v>482</v>
      </c>
      <c r="H46" s="176">
        <v>438</v>
      </c>
      <c r="I46" s="176">
        <v>490</v>
      </c>
      <c r="J46" s="176">
        <v>727</v>
      </c>
      <c r="K46" s="176">
        <v>699</v>
      </c>
      <c r="L46" s="176">
        <v>510</v>
      </c>
      <c r="M46" s="238">
        <v>4.6885773385428641E-3</v>
      </c>
      <c r="N46" s="238">
        <v>-0.27038626609442062</v>
      </c>
      <c r="O46" s="302">
        <v>0.96153846153846145</v>
      </c>
      <c r="P46" s="8"/>
      <c r="Q46" s="8"/>
    </row>
    <row r="47" spans="1:17" ht="15" customHeight="1">
      <c r="A47" s="163" t="s">
        <v>25</v>
      </c>
      <c r="B47" s="187"/>
      <c r="C47" s="188">
        <v>52</v>
      </c>
      <c r="D47" s="188">
        <v>94</v>
      </c>
      <c r="E47" s="188">
        <v>87</v>
      </c>
      <c r="F47" s="188">
        <v>73</v>
      </c>
      <c r="G47" s="188">
        <v>64</v>
      </c>
      <c r="H47" s="188">
        <v>41</v>
      </c>
      <c r="I47" s="188">
        <v>34</v>
      </c>
      <c r="J47" s="188">
        <v>72</v>
      </c>
      <c r="K47" s="188">
        <v>78</v>
      </c>
      <c r="L47" s="188">
        <v>62</v>
      </c>
      <c r="M47" s="241">
        <v>5.6998391174442652E-4</v>
      </c>
      <c r="N47" s="241">
        <v>-0.20512820512820518</v>
      </c>
      <c r="O47" s="305">
        <v>0.19230769230769229</v>
      </c>
      <c r="P47" s="8"/>
      <c r="Q47" s="8"/>
    </row>
    <row r="48" spans="1:17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5"/>
      <c r="N48" s="45"/>
      <c r="O48" s="45"/>
      <c r="P48" s="40"/>
      <c r="Q48" s="40"/>
    </row>
    <row r="49" spans="1:17">
      <c r="A49" s="44" t="s">
        <v>73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5"/>
      <c r="N49" s="45"/>
      <c r="O49" s="45"/>
      <c r="P49" s="40"/>
      <c r="Q49" s="40"/>
    </row>
    <row r="50" spans="1:17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5"/>
      <c r="N50" s="45"/>
      <c r="O50" s="45"/>
      <c r="P50" s="40"/>
      <c r="Q50" s="40"/>
    </row>
    <row r="51" spans="1:17">
      <c r="A51" s="44" t="s">
        <v>129</v>
      </c>
      <c r="B51" s="44"/>
      <c r="C51" s="44" t="s">
        <v>142</v>
      </c>
      <c r="D51" s="44"/>
      <c r="E51" s="44"/>
      <c r="F51" s="44"/>
      <c r="G51" s="44"/>
      <c r="H51" s="44"/>
      <c r="I51" s="44"/>
      <c r="J51" s="44"/>
      <c r="K51" s="44"/>
      <c r="L51" s="44"/>
      <c r="M51" s="45"/>
      <c r="N51" s="45"/>
      <c r="O51" s="45"/>
      <c r="P51" s="40"/>
      <c r="Q51" s="40"/>
    </row>
    <row r="52" spans="1:17">
      <c r="A52" s="44"/>
      <c r="B52" s="44"/>
      <c r="C52" s="44" t="s">
        <v>66</v>
      </c>
      <c r="D52" s="44"/>
      <c r="E52" s="44"/>
      <c r="F52" s="44"/>
      <c r="G52" s="44"/>
      <c r="H52" s="44"/>
      <c r="I52" s="44"/>
      <c r="J52" s="44"/>
      <c r="K52" s="44"/>
      <c r="L52" s="44"/>
      <c r="M52" s="45"/>
      <c r="N52" s="45"/>
      <c r="O52" s="45"/>
      <c r="P52" s="40"/>
      <c r="Q52" s="40"/>
    </row>
    <row r="53" spans="1:17">
      <c r="A53" s="44"/>
      <c r="B53" s="44"/>
      <c r="C53" s="44" t="s">
        <v>67</v>
      </c>
      <c r="D53" s="44"/>
      <c r="E53" s="44"/>
      <c r="F53" s="44"/>
      <c r="G53" s="44"/>
      <c r="H53" s="44"/>
      <c r="I53" s="44"/>
      <c r="J53" s="44"/>
      <c r="K53" s="44"/>
      <c r="L53" s="44"/>
      <c r="M53" s="45"/>
      <c r="N53" s="45"/>
      <c r="O53" s="45"/>
      <c r="P53" s="40"/>
      <c r="Q53" s="40"/>
    </row>
    <row r="54" spans="1:17">
      <c r="A54" s="44"/>
      <c r="B54" s="44"/>
      <c r="C54" s="44" t="s">
        <v>74</v>
      </c>
      <c r="D54" s="44"/>
      <c r="E54" s="44"/>
      <c r="F54" s="44"/>
      <c r="G54" s="44"/>
      <c r="H54" s="44"/>
      <c r="I54" s="44"/>
      <c r="J54" s="44"/>
      <c r="K54" s="44"/>
      <c r="L54" s="44"/>
      <c r="M54" s="45"/>
      <c r="N54" s="45"/>
      <c r="O54" s="45"/>
      <c r="P54" s="40"/>
      <c r="Q54" s="40"/>
    </row>
    <row r="55" spans="1:17">
      <c r="A55" s="44"/>
      <c r="B55" s="44"/>
      <c r="C55" s="44" t="s">
        <v>68</v>
      </c>
      <c r="D55" s="44"/>
      <c r="E55" s="44"/>
      <c r="F55" s="44"/>
      <c r="G55" s="44"/>
      <c r="H55" s="44"/>
      <c r="I55" s="44"/>
      <c r="J55" s="44"/>
      <c r="K55" s="44"/>
      <c r="L55" s="44"/>
      <c r="M55" s="45"/>
      <c r="N55" s="45"/>
      <c r="O55" s="45"/>
      <c r="P55" s="40"/>
      <c r="Q55" s="40"/>
    </row>
    <row r="56" spans="1:17">
      <c r="A56" s="44"/>
      <c r="B56" s="44"/>
      <c r="C56" s="44" t="s">
        <v>69</v>
      </c>
      <c r="D56" s="44"/>
      <c r="E56" s="44"/>
      <c r="F56" s="44"/>
      <c r="G56" s="44"/>
      <c r="H56" s="44"/>
      <c r="I56" s="44"/>
      <c r="J56" s="44"/>
      <c r="K56" s="44"/>
      <c r="L56" s="44"/>
      <c r="M56" s="45"/>
      <c r="N56" s="45"/>
      <c r="O56" s="45"/>
      <c r="P56" s="40"/>
      <c r="Q56" s="40"/>
    </row>
    <row r="57" spans="1:17">
      <c r="A57" s="44"/>
      <c r="B57" s="44"/>
      <c r="C57" s="44" t="s">
        <v>70</v>
      </c>
      <c r="D57" s="44"/>
      <c r="E57" s="44"/>
      <c r="F57" s="44"/>
      <c r="G57" s="44"/>
      <c r="H57" s="44"/>
      <c r="I57" s="44"/>
      <c r="J57" s="44"/>
      <c r="K57" s="44"/>
      <c r="L57" s="44"/>
      <c r="M57" s="45"/>
      <c r="N57" s="45"/>
      <c r="O57" s="45"/>
      <c r="P57" s="41"/>
      <c r="Q57" s="41"/>
    </row>
    <row r="58" spans="1:17">
      <c r="A58" s="44"/>
      <c r="B58" s="44"/>
      <c r="C58" s="44" t="s">
        <v>71</v>
      </c>
      <c r="D58" s="44"/>
      <c r="E58" s="44"/>
      <c r="F58" s="44"/>
      <c r="G58" s="44"/>
      <c r="H58" s="44"/>
      <c r="I58" s="44"/>
      <c r="J58" s="44"/>
      <c r="K58" s="44"/>
      <c r="L58" s="44"/>
      <c r="M58" s="45"/>
      <c r="N58" s="45"/>
      <c r="O58" s="45"/>
      <c r="P58" s="40"/>
      <c r="Q58" s="40"/>
    </row>
    <row r="59" spans="1:17">
      <c r="A59" s="44"/>
      <c r="B59" s="44"/>
      <c r="C59" s="44" t="s">
        <v>72</v>
      </c>
      <c r="D59" s="44"/>
      <c r="E59" s="44"/>
      <c r="F59" s="44"/>
      <c r="G59" s="44"/>
      <c r="H59" s="44"/>
      <c r="I59" s="44"/>
      <c r="J59" s="44"/>
      <c r="K59" s="44"/>
      <c r="L59" s="44"/>
      <c r="M59" s="45"/>
      <c r="N59" s="45"/>
      <c r="O59" s="45"/>
      <c r="P59" s="40"/>
      <c r="Q59" s="40"/>
    </row>
    <row r="61" spans="1:17">
      <c r="P61" s="8"/>
      <c r="Q61" s="8"/>
    </row>
    <row r="62" spans="1:17">
      <c r="P62" s="8"/>
      <c r="Q62" s="8"/>
    </row>
    <row r="63" spans="1:17">
      <c r="P63" s="8"/>
      <c r="Q63" s="8"/>
    </row>
    <row r="64" spans="1:17">
      <c r="P64" s="8"/>
      <c r="Q64" s="8"/>
    </row>
    <row r="65" spans="16:17">
      <c r="P65" s="8"/>
      <c r="Q65" s="8"/>
    </row>
    <row r="66" spans="16:17">
      <c r="P66" s="8"/>
      <c r="Q66" s="8"/>
    </row>
    <row r="67" spans="16:17">
      <c r="P67" s="8"/>
      <c r="Q67" s="8"/>
    </row>
    <row r="68" spans="16:17">
      <c r="P68" s="8"/>
      <c r="Q68" s="8"/>
    </row>
    <row r="69" spans="16:17">
      <c r="P69" s="8"/>
      <c r="Q69" s="8"/>
    </row>
    <row r="70" spans="16:17">
      <c r="P70" s="8"/>
      <c r="Q70" s="8"/>
    </row>
    <row r="71" spans="16:17">
      <c r="P71" s="8"/>
      <c r="Q71" s="8"/>
    </row>
    <row r="72" spans="16:17">
      <c r="P72" s="8"/>
      <c r="Q72" s="8"/>
    </row>
    <row r="73" spans="16:17">
      <c r="P73" s="8"/>
      <c r="Q73" s="8"/>
    </row>
    <row r="74" spans="16:17">
      <c r="P74" s="8"/>
      <c r="Q74" s="8"/>
    </row>
  </sheetData>
  <mergeCells count="6">
    <mergeCell ref="C4:L5"/>
    <mergeCell ref="M4:M5"/>
    <mergeCell ref="A4:B6"/>
    <mergeCell ref="A7:B7"/>
    <mergeCell ref="A1:O1"/>
    <mergeCell ref="A2:M2"/>
  </mergeCells>
  <hyperlinks>
    <hyperlink ref="Q1" location="INDICE!Área_de_impresión" display="INDICE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/>
  <dimension ref="A1:Q60"/>
  <sheetViews>
    <sheetView showGridLines="0" zoomScale="90" zoomScaleNormal="90" workbookViewId="0">
      <selection sqref="A1:O1"/>
    </sheetView>
  </sheetViews>
  <sheetFormatPr baseColWidth="10" defaultRowHeight="12.75"/>
  <cols>
    <col min="1" max="1" width="19.42578125" style="8" customWidth="1"/>
    <col min="2" max="2" width="18.28515625" style="8" bestFit="1" customWidth="1"/>
    <col min="3" max="13" width="13.7109375" style="8" customWidth="1"/>
    <col min="14" max="15" width="13.7109375" style="14" customWidth="1"/>
    <col min="16" max="16" width="1.7109375" style="2" customWidth="1"/>
    <col min="17" max="17" width="11.42578125" style="2"/>
    <col min="18" max="16384" width="11.42578125" style="8"/>
  </cols>
  <sheetData>
    <row r="1" spans="1:17" s="30" customFormat="1" ht="30" customHeight="1">
      <c r="A1" s="323" t="s">
        <v>54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5"/>
      <c r="Q1" s="31" t="s">
        <v>134</v>
      </c>
    </row>
    <row r="2" spans="1:17" s="19" customFormat="1" ht="30" customHeight="1">
      <c r="A2" s="365" t="s">
        <v>150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67"/>
      <c r="O2" s="68"/>
    </row>
    <row r="3" spans="1:17" ht="8.1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5"/>
      <c r="O3" s="45"/>
      <c r="P3" s="40"/>
      <c r="Q3" s="40"/>
    </row>
    <row r="4" spans="1:17" ht="15" customHeight="1">
      <c r="A4" s="330" t="s">
        <v>224</v>
      </c>
      <c r="B4" s="331"/>
      <c r="C4" s="311" t="s">
        <v>284</v>
      </c>
      <c r="D4" s="312"/>
      <c r="E4" s="312"/>
      <c r="F4" s="312"/>
      <c r="G4" s="312"/>
      <c r="H4" s="312"/>
      <c r="I4" s="312"/>
      <c r="J4" s="312"/>
      <c r="K4" s="312"/>
      <c r="L4" s="313"/>
      <c r="M4" s="317" t="s">
        <v>285</v>
      </c>
      <c r="N4" s="287" t="s">
        <v>146</v>
      </c>
      <c r="O4" s="288" t="s">
        <v>146</v>
      </c>
      <c r="P4" s="8"/>
      <c r="Q4" s="8"/>
    </row>
    <row r="5" spans="1:17" ht="15" customHeight="1">
      <c r="A5" s="364"/>
      <c r="B5" s="320"/>
      <c r="C5" s="314"/>
      <c r="D5" s="315"/>
      <c r="E5" s="315"/>
      <c r="F5" s="315"/>
      <c r="G5" s="315"/>
      <c r="H5" s="315"/>
      <c r="I5" s="315"/>
      <c r="J5" s="315"/>
      <c r="K5" s="315"/>
      <c r="L5" s="316"/>
      <c r="M5" s="318"/>
      <c r="N5" s="285" t="s">
        <v>286</v>
      </c>
      <c r="O5" s="295" t="s">
        <v>287</v>
      </c>
      <c r="P5" s="8"/>
      <c r="Q5" s="8"/>
    </row>
    <row r="6" spans="1:17" ht="15" customHeight="1">
      <c r="A6" s="364"/>
      <c r="B6" s="320"/>
      <c r="C6" s="298">
        <v>2015</v>
      </c>
      <c r="D6" s="80">
        <v>2016</v>
      </c>
      <c r="E6" s="79">
        <v>2017</v>
      </c>
      <c r="F6" s="80">
        <v>2018</v>
      </c>
      <c r="G6" s="79">
        <v>2019</v>
      </c>
      <c r="H6" s="80">
        <v>2020</v>
      </c>
      <c r="I6" s="79">
        <v>2021</v>
      </c>
      <c r="J6" s="80">
        <v>2022</v>
      </c>
      <c r="K6" s="79">
        <v>2023</v>
      </c>
      <c r="L6" s="80">
        <v>2024</v>
      </c>
      <c r="M6" s="289" t="s">
        <v>76</v>
      </c>
      <c r="N6" s="289" t="s">
        <v>76</v>
      </c>
      <c r="O6" s="290" t="s">
        <v>76</v>
      </c>
      <c r="P6" s="8"/>
      <c r="Q6" s="8"/>
    </row>
    <row r="7" spans="1:17" s="5" customFormat="1" ht="15" customHeight="1">
      <c r="A7" s="344" t="s">
        <v>0</v>
      </c>
      <c r="B7" s="345"/>
      <c r="C7" s="166">
        <v>7580419.7205131222</v>
      </c>
      <c r="D7" s="166">
        <v>7851196.5059910985</v>
      </c>
      <c r="E7" s="166">
        <v>8335592.4451530995</v>
      </c>
      <c r="F7" s="166">
        <v>9076953.8015136681</v>
      </c>
      <c r="G7" s="166">
        <v>9282478.2635677028</v>
      </c>
      <c r="H7" s="166">
        <v>9203307.4293194301</v>
      </c>
      <c r="I7" s="166">
        <v>9583139.0389287472</v>
      </c>
      <c r="J7" s="166">
        <v>9738817.1653385926</v>
      </c>
      <c r="K7" s="166">
        <v>10044845.784919254</v>
      </c>
      <c r="L7" s="166">
        <v>9636506.3346652985</v>
      </c>
      <c r="M7" s="230">
        <v>1</v>
      </c>
      <c r="N7" s="123">
        <v>-4.0651639556976926E-2</v>
      </c>
      <c r="O7" s="124">
        <v>0.27123651327488751</v>
      </c>
    </row>
    <row r="8" spans="1:17" ht="15" customHeight="1">
      <c r="A8" s="160" t="s">
        <v>141</v>
      </c>
      <c r="B8" s="169"/>
      <c r="C8" s="170">
        <v>975880.15088522504</v>
      </c>
      <c r="D8" s="170">
        <v>992256.77959403105</v>
      </c>
      <c r="E8" s="170">
        <v>1024145.66698467</v>
      </c>
      <c r="F8" s="170">
        <v>1080209.02562559</v>
      </c>
      <c r="G8" s="170">
        <v>1087722.7941215001</v>
      </c>
      <c r="H8" s="170">
        <v>1045367.49130994</v>
      </c>
      <c r="I8" s="170">
        <v>1003586.01524371</v>
      </c>
      <c r="J8" s="170">
        <v>1054663.7224862</v>
      </c>
      <c r="K8" s="170">
        <v>1045023.90752787</v>
      </c>
      <c r="L8" s="170">
        <v>1037469.27016457</v>
      </c>
      <c r="M8" s="94">
        <v>0.10766031112670918</v>
      </c>
      <c r="N8" s="94">
        <v>-7.2291526623265989E-3</v>
      </c>
      <c r="O8" s="95">
        <v>6.3111355655176782E-2</v>
      </c>
      <c r="P8" s="8"/>
      <c r="Q8" s="8"/>
    </row>
    <row r="9" spans="1:17" ht="15" customHeight="1">
      <c r="A9" s="161" t="s">
        <v>104</v>
      </c>
      <c r="B9" s="172"/>
      <c r="C9" s="173">
        <v>3139122.6809131801</v>
      </c>
      <c r="D9" s="173">
        <v>3226458.1859055199</v>
      </c>
      <c r="E9" s="173">
        <v>3370781.8975268202</v>
      </c>
      <c r="F9" s="173">
        <v>3658761.6627357299</v>
      </c>
      <c r="G9" s="173">
        <v>3719429.1870156201</v>
      </c>
      <c r="H9" s="173">
        <v>3634212.3800150598</v>
      </c>
      <c r="I9" s="173">
        <v>3656322.51013511</v>
      </c>
      <c r="J9" s="173">
        <v>3847282.3686025501</v>
      </c>
      <c r="K9" s="173">
        <v>4116018.7811645302</v>
      </c>
      <c r="L9" s="173">
        <v>3809356.1636926201</v>
      </c>
      <c r="M9" s="96">
        <v>0.39530469149273167</v>
      </c>
      <c r="N9" s="96">
        <v>-7.4504669141754243E-2</v>
      </c>
      <c r="O9" s="125">
        <v>0.213509808601831</v>
      </c>
      <c r="P9" s="8"/>
      <c r="Q9" s="8"/>
    </row>
    <row r="10" spans="1:17" ht="15" customHeight="1">
      <c r="A10" s="162" t="s">
        <v>2</v>
      </c>
      <c r="B10" s="169"/>
      <c r="C10" s="176">
        <v>3331431.2276332402</v>
      </c>
      <c r="D10" s="176">
        <v>3409056.3419139301</v>
      </c>
      <c r="E10" s="176">
        <v>3587143.0276117399</v>
      </c>
      <c r="F10" s="176">
        <v>3900558.2410959201</v>
      </c>
      <c r="G10" s="176">
        <v>3951601.0242390302</v>
      </c>
      <c r="H10" s="176">
        <v>3958281.8334909701</v>
      </c>
      <c r="I10" s="176">
        <v>4100704.8591489</v>
      </c>
      <c r="J10" s="176">
        <v>4248837.32437112</v>
      </c>
      <c r="K10" s="176">
        <v>4598459.4941548398</v>
      </c>
      <c r="L10" s="176">
        <v>4266786.1778759602</v>
      </c>
      <c r="M10" s="97">
        <v>0.44277314098026349</v>
      </c>
      <c r="N10" s="97">
        <v>-7.2127049656623865E-2</v>
      </c>
      <c r="O10" s="126">
        <v>0.28076669945464472</v>
      </c>
      <c r="P10" s="8"/>
      <c r="Q10" s="8"/>
    </row>
    <row r="11" spans="1:17" ht="15" customHeight="1">
      <c r="A11" s="161"/>
      <c r="B11" s="179" t="s">
        <v>93</v>
      </c>
      <c r="C11" s="180">
        <v>232063.620567976</v>
      </c>
      <c r="D11" s="180">
        <v>238131.72824264201</v>
      </c>
      <c r="E11" s="180">
        <v>252610.664264569</v>
      </c>
      <c r="F11" s="180">
        <v>276649.00970544398</v>
      </c>
      <c r="G11" s="180">
        <v>279508.66239074001</v>
      </c>
      <c r="H11" s="180">
        <v>285773.798550518</v>
      </c>
      <c r="I11" s="180">
        <v>295170.18954658002</v>
      </c>
      <c r="J11" s="180">
        <v>278953.27074242901</v>
      </c>
      <c r="K11" s="180">
        <v>331082.20502228203</v>
      </c>
      <c r="L11" s="180">
        <v>285398.683040581</v>
      </c>
      <c r="M11" s="202">
        <v>2.9616405897427728E-2</v>
      </c>
      <c r="N11" s="202">
        <v>-0.13798241430289648</v>
      </c>
      <c r="O11" s="231">
        <v>0.22982948530263969</v>
      </c>
      <c r="P11" s="8"/>
      <c r="Q11" s="8"/>
    </row>
    <row r="12" spans="1:17" ht="15" customHeight="1">
      <c r="A12" s="162"/>
      <c r="B12" s="183" t="s">
        <v>94</v>
      </c>
      <c r="C12" s="184">
        <v>390087.541595952</v>
      </c>
      <c r="D12" s="184">
        <v>400520.25612401502</v>
      </c>
      <c r="E12" s="184">
        <v>422188.177273351</v>
      </c>
      <c r="F12" s="184">
        <v>455194.72088857897</v>
      </c>
      <c r="G12" s="184">
        <v>467042.292531844</v>
      </c>
      <c r="H12" s="184">
        <v>460163.05148925498</v>
      </c>
      <c r="I12" s="184">
        <v>463770.36826305598</v>
      </c>
      <c r="J12" s="184">
        <v>487967.30930299999</v>
      </c>
      <c r="K12" s="184">
        <v>505268.50770941499</v>
      </c>
      <c r="L12" s="184">
        <v>489640.743305907</v>
      </c>
      <c r="M12" s="203">
        <v>5.0811022823129139E-2</v>
      </c>
      <c r="N12" s="203">
        <v>-3.0929622893686615E-2</v>
      </c>
      <c r="O12" s="232">
        <v>0.25520733449383259</v>
      </c>
      <c r="P12" s="8"/>
      <c r="Q12" s="8"/>
    </row>
    <row r="13" spans="1:17" ht="15" customHeight="1">
      <c r="A13" s="161"/>
      <c r="B13" s="179" t="s">
        <v>95</v>
      </c>
      <c r="C13" s="180">
        <v>215429.98201739299</v>
      </c>
      <c r="D13" s="180">
        <v>223629.38067255801</v>
      </c>
      <c r="E13" s="180">
        <v>240169.43695982901</v>
      </c>
      <c r="F13" s="180">
        <v>271887.09676426102</v>
      </c>
      <c r="G13" s="180">
        <v>284284.34980565298</v>
      </c>
      <c r="H13" s="180">
        <v>280075.74420573801</v>
      </c>
      <c r="I13" s="180">
        <v>277122.81051923003</v>
      </c>
      <c r="J13" s="180">
        <v>297066.11801722198</v>
      </c>
      <c r="K13" s="180">
        <v>340471.754900923</v>
      </c>
      <c r="L13" s="180">
        <v>303441.043363782</v>
      </c>
      <c r="M13" s="202">
        <v>3.1488698582827351E-2</v>
      </c>
      <c r="N13" s="202">
        <v>-0.10876294730503244</v>
      </c>
      <c r="O13" s="231">
        <v>0.40853673440534988</v>
      </c>
      <c r="P13" s="8"/>
      <c r="Q13" s="8"/>
    </row>
    <row r="14" spans="1:17" ht="15" customHeight="1">
      <c r="A14" s="162"/>
      <c r="B14" s="183" t="s">
        <v>96</v>
      </c>
      <c r="C14" s="184">
        <v>293467.67084944999</v>
      </c>
      <c r="D14" s="184">
        <v>305425.46054016397</v>
      </c>
      <c r="E14" s="184">
        <v>314616.85845866799</v>
      </c>
      <c r="F14" s="184">
        <v>343445.81281976501</v>
      </c>
      <c r="G14" s="184">
        <v>351966.42818701803</v>
      </c>
      <c r="H14" s="184">
        <v>343527.86371292901</v>
      </c>
      <c r="I14" s="184">
        <v>364797.18756284699</v>
      </c>
      <c r="J14" s="184">
        <v>387550.61560722103</v>
      </c>
      <c r="K14" s="184">
        <v>418903.84950947203</v>
      </c>
      <c r="L14" s="184">
        <v>379023.51225395</v>
      </c>
      <c r="M14" s="203">
        <v>3.9332046188823938E-2</v>
      </c>
      <c r="N14" s="203">
        <v>-9.5201649023328616E-2</v>
      </c>
      <c r="O14" s="232">
        <v>0.29153412761568021</v>
      </c>
      <c r="P14" s="8"/>
      <c r="Q14" s="8"/>
    </row>
    <row r="15" spans="1:17" ht="15" customHeight="1">
      <c r="A15" s="161"/>
      <c r="B15" s="179" t="s">
        <v>97</v>
      </c>
      <c r="C15" s="180">
        <v>155429.20380947299</v>
      </c>
      <c r="D15" s="180">
        <v>159976.562699292</v>
      </c>
      <c r="E15" s="180">
        <v>167472.715235268</v>
      </c>
      <c r="F15" s="180">
        <v>179910.253945584</v>
      </c>
      <c r="G15" s="180">
        <v>182645.22594308699</v>
      </c>
      <c r="H15" s="180">
        <v>178125.39400779101</v>
      </c>
      <c r="I15" s="180">
        <v>181051.20292508401</v>
      </c>
      <c r="J15" s="180">
        <v>194155.196311312</v>
      </c>
      <c r="K15" s="180">
        <v>213402.20992406199</v>
      </c>
      <c r="L15" s="180">
        <v>189328.53411827501</v>
      </c>
      <c r="M15" s="202">
        <v>1.9647009771290819E-2</v>
      </c>
      <c r="N15" s="202">
        <v>-0.11280893395786984</v>
      </c>
      <c r="O15" s="231">
        <v>0.21810142159871204</v>
      </c>
      <c r="P15" s="8"/>
      <c r="Q15" s="8"/>
    </row>
    <row r="16" spans="1:17" ht="15" customHeight="1">
      <c r="A16" s="162"/>
      <c r="B16" s="183" t="s">
        <v>98</v>
      </c>
      <c r="C16" s="184">
        <v>89611.507971672705</v>
      </c>
      <c r="D16" s="184">
        <v>94143.7158478333</v>
      </c>
      <c r="E16" s="184">
        <v>100252.447117263</v>
      </c>
      <c r="F16" s="184">
        <v>117193.534185861</v>
      </c>
      <c r="G16" s="184">
        <v>120063.222195294</v>
      </c>
      <c r="H16" s="184">
        <v>120287.729333287</v>
      </c>
      <c r="I16" s="184">
        <v>128324.345296118</v>
      </c>
      <c r="J16" s="184">
        <v>140019.38852221999</v>
      </c>
      <c r="K16" s="184">
        <v>164623.071327004</v>
      </c>
      <c r="L16" s="184">
        <v>148222.21835809</v>
      </c>
      <c r="M16" s="203">
        <v>1.5381323190220075E-2</v>
      </c>
      <c r="N16" s="203">
        <v>-9.9626697744787385E-2</v>
      </c>
      <c r="O16" s="232">
        <v>0.65405338793031875</v>
      </c>
      <c r="P16" s="8"/>
      <c r="Q16" s="8"/>
    </row>
    <row r="17" spans="1:17" ht="15" customHeight="1">
      <c r="A17" s="161"/>
      <c r="B17" s="179" t="s">
        <v>99</v>
      </c>
      <c r="C17" s="180">
        <v>358174.72970563598</v>
      </c>
      <c r="D17" s="180">
        <v>371636.88042277499</v>
      </c>
      <c r="E17" s="180">
        <v>389451.755006133</v>
      </c>
      <c r="F17" s="180">
        <v>431559.51644859102</v>
      </c>
      <c r="G17" s="180">
        <v>436475.51427538</v>
      </c>
      <c r="H17" s="180">
        <v>427272.78767126298</v>
      </c>
      <c r="I17" s="180">
        <v>441591.21722444601</v>
      </c>
      <c r="J17" s="180">
        <v>469071.19629897497</v>
      </c>
      <c r="K17" s="180">
        <v>520350.82183228497</v>
      </c>
      <c r="L17" s="180">
        <v>459023.38751224399</v>
      </c>
      <c r="M17" s="202">
        <v>4.7633797101445802E-2</v>
      </c>
      <c r="N17" s="202">
        <v>-0.1178578600185386</v>
      </c>
      <c r="O17" s="231">
        <v>0.28156273863734027</v>
      </c>
      <c r="P17" s="8"/>
      <c r="Q17" s="8"/>
    </row>
    <row r="18" spans="1:17" ht="15" customHeight="1">
      <c r="A18" s="162"/>
      <c r="B18" s="183" t="s">
        <v>100</v>
      </c>
      <c r="C18" s="184">
        <v>428978.27351039398</v>
      </c>
      <c r="D18" s="184">
        <v>440737.42176222801</v>
      </c>
      <c r="E18" s="184">
        <v>459874.176227074</v>
      </c>
      <c r="F18" s="184">
        <v>502712.69235205901</v>
      </c>
      <c r="G18" s="184">
        <v>509720.697565143</v>
      </c>
      <c r="H18" s="184">
        <v>493618.51973430702</v>
      </c>
      <c r="I18" s="184">
        <v>500909.17355403001</v>
      </c>
      <c r="J18" s="184">
        <v>537835.55131397198</v>
      </c>
      <c r="K18" s="184">
        <v>576892.45341121405</v>
      </c>
      <c r="L18" s="184">
        <v>517808.77157522802</v>
      </c>
      <c r="M18" s="203">
        <v>5.3734076810858331E-2</v>
      </c>
      <c r="N18" s="203">
        <v>-0.10241715156199249</v>
      </c>
      <c r="O18" s="232">
        <v>0.20707458524162692</v>
      </c>
      <c r="P18" s="8"/>
      <c r="Q18" s="8"/>
    </row>
    <row r="19" spans="1:17" ht="15" customHeight="1">
      <c r="A19" s="161"/>
      <c r="B19" s="179" t="s">
        <v>101</v>
      </c>
      <c r="C19" s="180">
        <v>90901.444728315604</v>
      </c>
      <c r="D19" s="180">
        <v>92378.462645345397</v>
      </c>
      <c r="E19" s="180">
        <v>100350.04769191401</v>
      </c>
      <c r="F19" s="180">
        <v>108176.072241455</v>
      </c>
      <c r="G19" s="180">
        <v>111028.76070263999</v>
      </c>
      <c r="H19" s="180">
        <v>110717.242860257</v>
      </c>
      <c r="I19" s="180">
        <v>118625.53134957299</v>
      </c>
      <c r="J19" s="180">
        <v>117806.750282594</v>
      </c>
      <c r="K19" s="180">
        <v>119562.710772112</v>
      </c>
      <c r="L19" s="180">
        <v>114256.62357535399</v>
      </c>
      <c r="M19" s="202">
        <v>1.1856643850722113E-2</v>
      </c>
      <c r="N19" s="202">
        <v>-4.4379114211214765E-2</v>
      </c>
      <c r="O19" s="231">
        <v>0.25692857706323458</v>
      </c>
      <c r="P19" s="8"/>
      <c r="Q19" s="8"/>
    </row>
    <row r="20" spans="1:17" ht="15" customHeight="1">
      <c r="A20" s="162"/>
      <c r="B20" s="183" t="s">
        <v>102</v>
      </c>
      <c r="C20" s="184">
        <v>165978.70035758099</v>
      </c>
      <c r="D20" s="184">
        <v>170777.13262427301</v>
      </c>
      <c r="E20" s="184">
        <v>179117.14221312199</v>
      </c>
      <c r="F20" s="184">
        <v>193642.42675273601</v>
      </c>
      <c r="G20" s="184">
        <v>192756.52130444499</v>
      </c>
      <c r="H20" s="184">
        <v>191742.31630514801</v>
      </c>
      <c r="I20" s="184">
        <v>201847.87245362101</v>
      </c>
      <c r="J20" s="184">
        <v>195236.94734393299</v>
      </c>
      <c r="K20" s="184">
        <v>199559.00631572699</v>
      </c>
      <c r="L20" s="184">
        <v>202546.76255764501</v>
      </c>
      <c r="M20" s="203">
        <v>2.1018692410238529E-2</v>
      </c>
      <c r="N20" s="203">
        <v>1.497179354156053E-2</v>
      </c>
      <c r="O20" s="232">
        <v>0.22031780054478411</v>
      </c>
      <c r="P20" s="8"/>
      <c r="Q20" s="8"/>
    </row>
    <row r="21" spans="1:17" ht="15" customHeight="1">
      <c r="A21" s="161"/>
      <c r="B21" s="179" t="s">
        <v>65</v>
      </c>
      <c r="C21" s="180">
        <v>911308.55251937604</v>
      </c>
      <c r="D21" s="180">
        <v>911699.34033282497</v>
      </c>
      <c r="E21" s="180">
        <v>961039.60716454498</v>
      </c>
      <c r="F21" s="180">
        <v>1020187.10499158</v>
      </c>
      <c r="G21" s="180">
        <v>1016109.34933782</v>
      </c>
      <c r="H21" s="180">
        <v>1066977.3856204101</v>
      </c>
      <c r="I21" s="180">
        <v>1127494.9604543</v>
      </c>
      <c r="J21" s="180">
        <v>1143174.9806282299</v>
      </c>
      <c r="K21" s="180">
        <v>1208342.9034303499</v>
      </c>
      <c r="L21" s="180">
        <v>1178095.8982148999</v>
      </c>
      <c r="M21" s="202">
        <v>0.12225342435327921</v>
      </c>
      <c r="N21" s="202">
        <v>-2.5031806062320694E-2</v>
      </c>
      <c r="O21" s="231">
        <v>0.29275193891023155</v>
      </c>
      <c r="P21" s="8"/>
      <c r="Q21" s="8"/>
    </row>
    <row r="22" spans="1:17" ht="15" customHeight="1">
      <c r="A22" s="162" t="s">
        <v>3</v>
      </c>
      <c r="B22" s="169"/>
      <c r="C22" s="176">
        <v>27183.1679349521</v>
      </c>
      <c r="D22" s="176">
        <v>29371.983310748499</v>
      </c>
      <c r="E22" s="176">
        <v>33840.423720026098</v>
      </c>
      <c r="F22" s="176">
        <v>37280.691042314204</v>
      </c>
      <c r="G22" s="176">
        <v>41713.161493762898</v>
      </c>
      <c r="H22" s="176">
        <v>40227.202482832203</v>
      </c>
      <c r="I22" s="176">
        <v>43001.211788120199</v>
      </c>
      <c r="J22" s="176">
        <v>41328.582250977197</v>
      </c>
      <c r="K22" s="176">
        <v>39157.220303380898</v>
      </c>
      <c r="L22" s="176">
        <v>40702.061856576001</v>
      </c>
      <c r="M22" s="97">
        <v>4.2237363254937028E-3</v>
      </c>
      <c r="N22" s="97">
        <v>3.94522783084712E-2</v>
      </c>
      <c r="O22" s="126">
        <v>0.49732591705182805</v>
      </c>
      <c r="P22" s="8"/>
      <c r="Q22" s="8"/>
    </row>
    <row r="23" spans="1:17" ht="15" customHeight="1">
      <c r="A23" s="161" t="s">
        <v>16</v>
      </c>
      <c r="B23" s="172"/>
      <c r="C23" s="173">
        <v>85554.946990532699</v>
      </c>
      <c r="D23" s="173">
        <v>91793.799014989097</v>
      </c>
      <c r="E23" s="173">
        <v>104762.88659239501</v>
      </c>
      <c r="F23" s="173">
        <v>121169.30195969</v>
      </c>
      <c r="G23" s="173">
        <v>127586.45637706701</v>
      </c>
      <c r="H23" s="173">
        <v>121544.830988862</v>
      </c>
      <c r="I23" s="173">
        <v>127459.318247838</v>
      </c>
      <c r="J23" s="173">
        <v>124069.291656644</v>
      </c>
      <c r="K23" s="173">
        <v>131370.70911402101</v>
      </c>
      <c r="L23" s="173">
        <v>118884.376346633</v>
      </c>
      <c r="M23" s="96">
        <v>1.2336875234437562E-2</v>
      </c>
      <c r="N23" s="96">
        <v>-9.5046550723500434E-2</v>
      </c>
      <c r="O23" s="125">
        <v>0.38956752973955378</v>
      </c>
      <c r="P23" s="8"/>
      <c r="Q23" s="8"/>
    </row>
    <row r="24" spans="1:17" ht="15" customHeight="1">
      <c r="A24" s="162" t="s">
        <v>17</v>
      </c>
      <c r="B24" s="169"/>
      <c r="C24" s="176">
        <v>112163.002019279</v>
      </c>
      <c r="D24" s="176">
        <v>123214.009084968</v>
      </c>
      <c r="E24" s="176">
        <v>135109.31055878801</v>
      </c>
      <c r="F24" s="176">
        <v>146163.453435348</v>
      </c>
      <c r="G24" s="176">
        <v>148818.22588598501</v>
      </c>
      <c r="H24" s="176">
        <v>150218.01012838399</v>
      </c>
      <c r="I24" s="176">
        <v>164676.38594777699</v>
      </c>
      <c r="J24" s="176">
        <v>156394.70695618101</v>
      </c>
      <c r="K24" s="176">
        <v>143047.74579246901</v>
      </c>
      <c r="L24" s="176">
        <v>151837.80221235199</v>
      </c>
      <c r="M24" s="97">
        <v>1.5756519732275539E-2</v>
      </c>
      <c r="N24" s="97">
        <v>6.1448409209016397E-2</v>
      </c>
      <c r="O24" s="126">
        <v>0.35372448560402781</v>
      </c>
      <c r="P24" s="8"/>
      <c r="Q24" s="8"/>
    </row>
    <row r="25" spans="1:17" ht="15" customHeight="1">
      <c r="A25" s="161" t="s">
        <v>4</v>
      </c>
      <c r="B25" s="172"/>
      <c r="C25" s="173">
        <v>768678.574451486</v>
      </c>
      <c r="D25" s="173">
        <v>800362.91066960397</v>
      </c>
      <c r="E25" s="173">
        <v>835169.28895524202</v>
      </c>
      <c r="F25" s="173">
        <v>864396.880388177</v>
      </c>
      <c r="G25" s="173">
        <v>908937.55799325102</v>
      </c>
      <c r="H25" s="173">
        <v>908387.60256250901</v>
      </c>
      <c r="I25" s="173">
        <v>964583.64108369604</v>
      </c>
      <c r="J25" s="173">
        <v>933164.96485355403</v>
      </c>
      <c r="K25" s="173">
        <v>976435.78403350199</v>
      </c>
      <c r="L25" s="173">
        <v>954048.47641770495</v>
      </c>
      <c r="M25" s="96">
        <v>9.9003564495746432E-2</v>
      </c>
      <c r="N25" s="96">
        <v>-2.2927578015748851E-2</v>
      </c>
      <c r="O25" s="125">
        <v>0.24115398571957769</v>
      </c>
      <c r="P25" s="8"/>
      <c r="Q25" s="8"/>
    </row>
    <row r="26" spans="1:17" ht="15" customHeight="1">
      <c r="A26" s="162"/>
      <c r="B26" s="183" t="s">
        <v>51</v>
      </c>
      <c r="C26" s="184">
        <v>262020.81197410601</v>
      </c>
      <c r="D26" s="184">
        <v>268219.246120564</v>
      </c>
      <c r="E26" s="184">
        <v>286177.962225236</v>
      </c>
      <c r="F26" s="184">
        <v>294946.19959713903</v>
      </c>
      <c r="G26" s="184">
        <v>322123.08661647502</v>
      </c>
      <c r="H26" s="184">
        <v>317574.76730242401</v>
      </c>
      <c r="I26" s="184">
        <v>332831.908754192</v>
      </c>
      <c r="J26" s="184">
        <v>318739.41276897799</v>
      </c>
      <c r="K26" s="184">
        <v>318055.97755458899</v>
      </c>
      <c r="L26" s="184">
        <v>316043.39067964</v>
      </c>
      <c r="M26" s="203">
        <v>3.279646997613031E-2</v>
      </c>
      <c r="N26" s="203">
        <v>-6.3277756652241335E-3</v>
      </c>
      <c r="O26" s="232">
        <v>0.20617667084732472</v>
      </c>
      <c r="P26" s="8"/>
      <c r="Q26" s="8"/>
    </row>
    <row r="27" spans="1:17" ht="15" customHeight="1">
      <c r="A27" s="161" t="s">
        <v>5</v>
      </c>
      <c r="B27" s="172"/>
      <c r="C27" s="173">
        <v>80683.559601806905</v>
      </c>
      <c r="D27" s="173">
        <v>85825.776053895403</v>
      </c>
      <c r="E27" s="173">
        <v>88433.647075251094</v>
      </c>
      <c r="F27" s="173">
        <v>96145.595809588704</v>
      </c>
      <c r="G27" s="173">
        <v>102853.22851503</v>
      </c>
      <c r="H27" s="173">
        <v>99306.244329257694</v>
      </c>
      <c r="I27" s="173">
        <v>105111.307926636</v>
      </c>
      <c r="J27" s="173">
        <v>102942.48825625</v>
      </c>
      <c r="K27" s="173">
        <v>109506.30192122801</v>
      </c>
      <c r="L27" s="173">
        <v>102985.367437686</v>
      </c>
      <c r="M27" s="96">
        <v>1.0687002515342917E-2</v>
      </c>
      <c r="N27" s="96">
        <v>-5.9548485969627141E-2</v>
      </c>
      <c r="O27" s="125">
        <v>0.27641080718233013</v>
      </c>
      <c r="P27" s="8"/>
      <c r="Q27" s="8"/>
    </row>
    <row r="28" spans="1:17" ht="15" customHeight="1">
      <c r="A28" s="162" t="s">
        <v>6</v>
      </c>
      <c r="B28" s="169"/>
      <c r="C28" s="176">
        <v>209030.37562893899</v>
      </c>
      <c r="D28" s="176">
        <v>218128.27928572</v>
      </c>
      <c r="E28" s="176">
        <v>230098.86951167899</v>
      </c>
      <c r="F28" s="176">
        <v>255515.942842694</v>
      </c>
      <c r="G28" s="176">
        <v>258901.65516932699</v>
      </c>
      <c r="H28" s="176">
        <v>247287.25408602599</v>
      </c>
      <c r="I28" s="176">
        <v>270864.435000089</v>
      </c>
      <c r="J28" s="176">
        <v>278303.79463585</v>
      </c>
      <c r="K28" s="176">
        <v>276217.23446780001</v>
      </c>
      <c r="L28" s="176">
        <v>267756.72978528199</v>
      </c>
      <c r="M28" s="97">
        <v>2.7785664273584674E-2</v>
      </c>
      <c r="N28" s="97">
        <v>-3.0629894252685697E-2</v>
      </c>
      <c r="O28" s="126">
        <v>0.28094650827490875</v>
      </c>
      <c r="P28" s="8"/>
      <c r="Q28" s="8"/>
    </row>
    <row r="29" spans="1:17" ht="15" customHeight="1">
      <c r="A29" s="161" t="s">
        <v>18</v>
      </c>
      <c r="B29" s="172"/>
      <c r="C29" s="173">
        <v>31044.984587782899</v>
      </c>
      <c r="D29" s="173">
        <v>32946.818576733698</v>
      </c>
      <c r="E29" s="173">
        <v>37223.399774547201</v>
      </c>
      <c r="F29" s="173">
        <v>43308.351909386503</v>
      </c>
      <c r="G29" s="173">
        <v>46230.241057239196</v>
      </c>
      <c r="H29" s="173">
        <v>44486.081765467199</v>
      </c>
      <c r="I29" s="173">
        <v>45663.496870842297</v>
      </c>
      <c r="J29" s="173">
        <v>42590.923401930399</v>
      </c>
      <c r="K29" s="173">
        <v>41995.272910102598</v>
      </c>
      <c r="L29" s="173">
        <v>39573.797648419597</v>
      </c>
      <c r="M29" s="96">
        <v>4.1066540376838868E-3</v>
      </c>
      <c r="N29" s="96">
        <v>-5.7660662590919287E-2</v>
      </c>
      <c r="O29" s="125">
        <v>0.27472434513602662</v>
      </c>
      <c r="P29" s="8"/>
      <c r="Q29" s="8"/>
    </row>
    <row r="30" spans="1:17" ht="15" customHeight="1">
      <c r="A30" s="162" t="s">
        <v>7</v>
      </c>
      <c r="B30" s="169"/>
      <c r="C30" s="176">
        <v>36464.821122579597</v>
      </c>
      <c r="D30" s="176">
        <v>38777.652541024603</v>
      </c>
      <c r="E30" s="176">
        <v>44522.691691642503</v>
      </c>
      <c r="F30" s="176">
        <v>52781.871160205897</v>
      </c>
      <c r="G30" s="176">
        <v>55185.296998455997</v>
      </c>
      <c r="H30" s="176">
        <v>50933.061565659104</v>
      </c>
      <c r="I30" s="176">
        <v>50011.032339582103</v>
      </c>
      <c r="J30" s="176">
        <v>51243.098830827999</v>
      </c>
      <c r="K30" s="176">
        <v>46417.474415154102</v>
      </c>
      <c r="L30" s="176">
        <v>48546.378855927498</v>
      </c>
      <c r="M30" s="97">
        <v>5.0377571673763284E-3</v>
      </c>
      <c r="N30" s="97">
        <v>4.5864288559361199E-2</v>
      </c>
      <c r="O30" s="126">
        <v>0.33132091043953626</v>
      </c>
      <c r="P30" s="8"/>
      <c r="Q30" s="8"/>
    </row>
    <row r="31" spans="1:17" ht="15" customHeight="1">
      <c r="A31" s="161" t="s">
        <v>21</v>
      </c>
      <c r="B31" s="172"/>
      <c r="C31" s="173">
        <v>71078.238665602898</v>
      </c>
      <c r="D31" s="173">
        <v>74256.444706542301</v>
      </c>
      <c r="E31" s="173">
        <v>83029.001547212494</v>
      </c>
      <c r="F31" s="173">
        <v>94587.772660168397</v>
      </c>
      <c r="G31" s="173">
        <v>96889.522576175907</v>
      </c>
      <c r="H31" s="173">
        <v>99559.862163465194</v>
      </c>
      <c r="I31" s="173">
        <v>109551.602915034</v>
      </c>
      <c r="J31" s="173">
        <v>105839.203905394</v>
      </c>
      <c r="K31" s="173">
        <v>98973.728079125503</v>
      </c>
      <c r="L31" s="173">
        <v>100517.63260538</v>
      </c>
      <c r="M31" s="96">
        <v>1.0430920617339193E-2</v>
      </c>
      <c r="N31" s="96">
        <v>1.559913480292674E-2</v>
      </c>
      <c r="O31" s="125">
        <v>0.41418294111477172</v>
      </c>
      <c r="P31" s="8"/>
      <c r="Q31" s="8"/>
    </row>
    <row r="32" spans="1:17" ht="15" customHeight="1">
      <c r="A32" s="162" t="s">
        <v>9</v>
      </c>
      <c r="B32" s="169"/>
      <c r="C32" s="176">
        <v>23074.0635030884</v>
      </c>
      <c r="D32" s="176">
        <v>24760.8567220818</v>
      </c>
      <c r="E32" s="176">
        <v>29467.579853379899</v>
      </c>
      <c r="F32" s="176">
        <v>32233.631775079099</v>
      </c>
      <c r="G32" s="176">
        <v>34170.382154192397</v>
      </c>
      <c r="H32" s="176">
        <v>31473.542144584801</v>
      </c>
      <c r="I32" s="176">
        <v>31694.895294374401</v>
      </c>
      <c r="J32" s="176">
        <v>30426.705443625298</v>
      </c>
      <c r="K32" s="176">
        <v>28697.4422378114</v>
      </c>
      <c r="L32" s="176">
        <v>28955.8946881558</v>
      </c>
      <c r="M32" s="97">
        <v>3.0048124997327174E-3</v>
      </c>
      <c r="N32" s="97">
        <v>9.0061144893207601E-3</v>
      </c>
      <c r="O32" s="126">
        <v>0.25491093860776326</v>
      </c>
      <c r="P32" s="8"/>
      <c r="Q32" s="8"/>
    </row>
    <row r="33" spans="1:17" ht="15" customHeight="1">
      <c r="A33" s="161" t="s">
        <v>8</v>
      </c>
      <c r="B33" s="172"/>
      <c r="C33" s="173">
        <v>339814.30897159199</v>
      </c>
      <c r="D33" s="173">
        <v>359050.26674075401</v>
      </c>
      <c r="E33" s="173">
        <v>383127.31734478602</v>
      </c>
      <c r="F33" s="173">
        <v>423216.96654034598</v>
      </c>
      <c r="G33" s="173">
        <v>431761.89394044498</v>
      </c>
      <c r="H33" s="173">
        <v>428091.39454751502</v>
      </c>
      <c r="I33" s="173">
        <v>454468.72482902103</v>
      </c>
      <c r="J33" s="173">
        <v>458011.17382550403</v>
      </c>
      <c r="K33" s="173">
        <v>457741.74194853997</v>
      </c>
      <c r="L33" s="173">
        <v>432753.79726389702</v>
      </c>
      <c r="M33" s="96">
        <v>4.4907747915565267E-2</v>
      </c>
      <c r="N33" s="96">
        <v>-5.4589613300882078E-2</v>
      </c>
      <c r="O33" s="125">
        <v>0.2735008086433306</v>
      </c>
      <c r="P33" s="8"/>
      <c r="Q33" s="8"/>
    </row>
    <row r="34" spans="1:17" ht="15" customHeight="1">
      <c r="A34" s="162"/>
      <c r="B34" s="183" t="s">
        <v>53</v>
      </c>
      <c r="C34" s="184">
        <v>188821.320723065</v>
      </c>
      <c r="D34" s="184">
        <v>186592.35019221099</v>
      </c>
      <c r="E34" s="184">
        <v>203670.63796318701</v>
      </c>
      <c r="F34" s="184">
        <v>228166.588095399</v>
      </c>
      <c r="G34" s="184">
        <v>229273.88232557499</v>
      </c>
      <c r="H34" s="184">
        <v>225596.95974242999</v>
      </c>
      <c r="I34" s="184">
        <v>236018.07754508601</v>
      </c>
      <c r="J34" s="184">
        <v>229657.058325586</v>
      </c>
      <c r="K34" s="184">
        <v>229259.81903431099</v>
      </c>
      <c r="L34" s="184">
        <v>210304.19040063501</v>
      </c>
      <c r="M34" s="203">
        <v>2.1823696586397712E-2</v>
      </c>
      <c r="N34" s="203">
        <v>-8.2681861625473418E-2</v>
      </c>
      <c r="O34" s="232">
        <v>0.11377353783621658</v>
      </c>
      <c r="P34" s="8"/>
      <c r="Q34" s="8"/>
    </row>
    <row r="35" spans="1:17" ht="15" customHeight="1">
      <c r="A35" s="161" t="s">
        <v>19</v>
      </c>
      <c r="B35" s="172"/>
      <c r="C35" s="173">
        <v>88380.647498934501</v>
      </c>
      <c r="D35" s="173">
        <v>94776.207894330306</v>
      </c>
      <c r="E35" s="173">
        <v>108380.77256027699</v>
      </c>
      <c r="F35" s="173">
        <v>124998.755035714</v>
      </c>
      <c r="G35" s="173">
        <v>129921.136078197</v>
      </c>
      <c r="H35" s="173">
        <v>129962.64815880101</v>
      </c>
      <c r="I35" s="173">
        <v>140819.63409843601</v>
      </c>
      <c r="J35" s="173">
        <v>142366.904036266</v>
      </c>
      <c r="K35" s="173">
        <v>137120.260490235</v>
      </c>
      <c r="L35" s="173">
        <v>142966.039711138</v>
      </c>
      <c r="M35" s="96">
        <v>1.4835878766233757E-2</v>
      </c>
      <c r="N35" s="96">
        <v>4.2632497925565893E-2</v>
      </c>
      <c r="O35" s="125">
        <v>0.61761702088527426</v>
      </c>
      <c r="P35" s="8"/>
      <c r="Q35" s="8"/>
    </row>
    <row r="36" spans="1:17" ht="15" customHeight="1">
      <c r="A36" s="162" t="s">
        <v>20</v>
      </c>
      <c r="B36" s="169"/>
      <c r="C36" s="176">
        <v>122867.111671939</v>
      </c>
      <c r="D36" s="176">
        <v>134787.66893558399</v>
      </c>
      <c r="E36" s="176">
        <v>150135.42274289401</v>
      </c>
      <c r="F36" s="176">
        <v>169444.17966634201</v>
      </c>
      <c r="G36" s="176">
        <v>176191.50431711</v>
      </c>
      <c r="H36" s="176">
        <v>177019.00152376201</v>
      </c>
      <c r="I36" s="176">
        <v>185883.80298448799</v>
      </c>
      <c r="J36" s="176">
        <v>191047.101775202</v>
      </c>
      <c r="K36" s="176">
        <v>198649.19544288699</v>
      </c>
      <c r="L36" s="176">
        <v>190181.327527491</v>
      </c>
      <c r="M36" s="97">
        <v>1.973550589007074E-2</v>
      </c>
      <c r="N36" s="97">
        <v>-4.262724496073067E-2</v>
      </c>
      <c r="O36" s="126">
        <v>0.54786195377721691</v>
      </c>
      <c r="P36" s="8"/>
      <c r="Q36" s="8"/>
    </row>
    <row r="37" spans="1:17" ht="15" customHeight="1">
      <c r="A37" s="161" t="s">
        <v>22</v>
      </c>
      <c r="B37" s="172"/>
      <c r="C37" s="173">
        <v>118315.43120809201</v>
      </c>
      <c r="D37" s="173">
        <v>127465.440536715</v>
      </c>
      <c r="E37" s="173">
        <v>155506.84231510101</v>
      </c>
      <c r="F37" s="173">
        <v>184836.29194513601</v>
      </c>
      <c r="G37" s="173">
        <v>194459.52249202001</v>
      </c>
      <c r="H37" s="173">
        <v>196687.31153597901</v>
      </c>
      <c r="I37" s="173">
        <v>214066.31452469301</v>
      </c>
      <c r="J37" s="173">
        <v>216566.615015927</v>
      </c>
      <c r="K37" s="173">
        <v>197303.976834086</v>
      </c>
      <c r="L37" s="173">
        <v>211249.73645003399</v>
      </c>
      <c r="M37" s="96">
        <v>2.1921817836626913E-2</v>
      </c>
      <c r="N37" s="96">
        <v>7.0681594155981298E-2</v>
      </c>
      <c r="O37" s="125">
        <v>0.78547915764673215</v>
      </c>
      <c r="P37" s="8"/>
      <c r="Q37" s="8"/>
    </row>
    <row r="38" spans="1:17" ht="15" customHeight="1">
      <c r="A38" s="162" t="s">
        <v>10</v>
      </c>
      <c r="B38" s="169"/>
      <c r="C38" s="176">
        <v>67384.720944851899</v>
      </c>
      <c r="D38" s="176">
        <v>72305.693577868398</v>
      </c>
      <c r="E38" s="176">
        <v>83979.295520032203</v>
      </c>
      <c r="F38" s="176">
        <v>98145.297938359596</v>
      </c>
      <c r="G38" s="176">
        <v>106375.022680972</v>
      </c>
      <c r="H38" s="176">
        <v>102660.63812182</v>
      </c>
      <c r="I38" s="176">
        <v>107344.80246917999</v>
      </c>
      <c r="J38" s="176">
        <v>105530.023083298</v>
      </c>
      <c r="K38" s="176">
        <v>104227.793891644</v>
      </c>
      <c r="L38" s="176">
        <v>112000.6772795</v>
      </c>
      <c r="M38" s="97">
        <v>1.1622539682934798E-2</v>
      </c>
      <c r="N38" s="97">
        <v>7.4575917781937839E-2</v>
      </c>
      <c r="O38" s="126">
        <v>0.6621079038252915</v>
      </c>
      <c r="P38" s="8"/>
      <c r="Q38" s="8"/>
    </row>
    <row r="39" spans="1:17" ht="15" customHeight="1">
      <c r="A39" s="161" t="s">
        <v>11</v>
      </c>
      <c r="B39" s="172"/>
      <c r="C39" s="173">
        <v>59943.019547071002</v>
      </c>
      <c r="D39" s="173">
        <v>62168.912182944703</v>
      </c>
      <c r="E39" s="173">
        <v>66955.156119531195</v>
      </c>
      <c r="F39" s="173">
        <v>77510.068624835403</v>
      </c>
      <c r="G39" s="173">
        <v>80581.4860302015</v>
      </c>
      <c r="H39" s="173">
        <v>79323.076406787601</v>
      </c>
      <c r="I39" s="173">
        <v>84049.419014504107</v>
      </c>
      <c r="J39" s="173">
        <v>82310.565715851393</v>
      </c>
      <c r="K39" s="173">
        <v>69701.906915416199</v>
      </c>
      <c r="L39" s="173">
        <v>75706.602028585694</v>
      </c>
      <c r="M39" s="96">
        <v>7.8562291560217382E-3</v>
      </c>
      <c r="N39" s="96">
        <v>8.6148218591153292E-2</v>
      </c>
      <c r="O39" s="125">
        <v>0.26297611632887707</v>
      </c>
      <c r="P39" s="8"/>
      <c r="Q39" s="8"/>
    </row>
    <row r="40" spans="1:17" ht="15" customHeight="1">
      <c r="A40" s="162" t="s">
        <v>12</v>
      </c>
      <c r="B40" s="169"/>
      <c r="C40" s="176">
        <v>55882.820020002102</v>
      </c>
      <c r="D40" s="176">
        <v>59285.220471672903</v>
      </c>
      <c r="E40" s="176">
        <v>63794.882087646401</v>
      </c>
      <c r="F40" s="176">
        <v>73672.842036158007</v>
      </c>
      <c r="G40" s="176">
        <v>76889.089875209596</v>
      </c>
      <c r="H40" s="176">
        <v>76956.566116105896</v>
      </c>
      <c r="I40" s="176">
        <v>80956.162618583301</v>
      </c>
      <c r="J40" s="176">
        <v>85770.895248776797</v>
      </c>
      <c r="K40" s="176">
        <v>79642.787986815805</v>
      </c>
      <c r="L40" s="176">
        <v>77462.317158787497</v>
      </c>
      <c r="M40" s="97">
        <v>8.0384233111675703E-3</v>
      </c>
      <c r="N40" s="97">
        <v>-2.7378132824647849E-2</v>
      </c>
      <c r="O40" s="126">
        <v>0.38615619489248143</v>
      </c>
      <c r="P40" s="8"/>
      <c r="Q40" s="8"/>
    </row>
    <row r="41" spans="1:17" ht="15" customHeight="1">
      <c r="A41" s="161" t="s">
        <v>23</v>
      </c>
      <c r="B41" s="172"/>
      <c r="C41" s="173">
        <v>58872.4561742066</v>
      </c>
      <c r="D41" s="173">
        <v>63527.354491648897</v>
      </c>
      <c r="E41" s="173">
        <v>67142.996498135297</v>
      </c>
      <c r="F41" s="173">
        <v>70490.279378236693</v>
      </c>
      <c r="G41" s="173">
        <v>70356.063866952798</v>
      </c>
      <c r="H41" s="173">
        <v>66870.488461751302</v>
      </c>
      <c r="I41" s="173">
        <v>69732.044025402705</v>
      </c>
      <c r="J41" s="173">
        <v>66986.122845427002</v>
      </c>
      <c r="K41" s="173">
        <v>63317.430847743402</v>
      </c>
      <c r="L41" s="173">
        <v>64207.591476114198</v>
      </c>
      <c r="M41" s="96">
        <v>6.6629532785280211E-3</v>
      </c>
      <c r="N41" s="96">
        <v>1.4058697841220491E-2</v>
      </c>
      <c r="O41" s="125">
        <v>9.0621924896774564E-2</v>
      </c>
      <c r="P41" s="8"/>
      <c r="Q41" s="8"/>
    </row>
    <row r="42" spans="1:17" ht="15" customHeight="1">
      <c r="A42" s="162" t="s">
        <v>13</v>
      </c>
      <c r="B42" s="169"/>
      <c r="C42" s="176">
        <v>718630.93152554706</v>
      </c>
      <c r="D42" s="176">
        <v>745560.38784757198</v>
      </c>
      <c r="E42" s="176">
        <v>780566.263974556</v>
      </c>
      <c r="F42" s="176">
        <v>849968.47721582896</v>
      </c>
      <c r="G42" s="176">
        <v>852054.44413366006</v>
      </c>
      <c r="H42" s="176">
        <v>855551.79216185503</v>
      </c>
      <c r="I42" s="176">
        <v>920497.74419029197</v>
      </c>
      <c r="J42" s="176">
        <v>911785.09186736797</v>
      </c>
      <c r="K42" s="176">
        <v>920763.60525224998</v>
      </c>
      <c r="L42" s="176">
        <v>882535.12038895197</v>
      </c>
      <c r="M42" s="97">
        <v>9.1582477065803206E-2</v>
      </c>
      <c r="N42" s="97">
        <v>-4.1518240561674968E-2</v>
      </c>
      <c r="O42" s="126">
        <v>0.22807839417023223</v>
      </c>
      <c r="P42" s="8"/>
      <c r="Q42" s="8"/>
    </row>
    <row r="43" spans="1:17" ht="15" customHeight="1">
      <c r="A43" s="161"/>
      <c r="B43" s="179" t="s">
        <v>50</v>
      </c>
      <c r="C43" s="180">
        <v>204143.48168897</v>
      </c>
      <c r="D43" s="180">
        <v>210034.78641241</v>
      </c>
      <c r="E43" s="180">
        <v>220722.289664032</v>
      </c>
      <c r="F43" s="180">
        <v>244265.10637629501</v>
      </c>
      <c r="G43" s="180">
        <v>247412.11466583301</v>
      </c>
      <c r="H43" s="180">
        <v>246234.70977198001</v>
      </c>
      <c r="I43" s="180">
        <v>263292.812424901</v>
      </c>
      <c r="J43" s="180">
        <v>256406.805077978</v>
      </c>
      <c r="K43" s="180">
        <v>257263.946220824</v>
      </c>
      <c r="L43" s="180">
        <v>241380.81328031799</v>
      </c>
      <c r="M43" s="202">
        <v>2.5048581394275789E-2</v>
      </c>
      <c r="N43" s="202">
        <v>-6.1738666353475913E-2</v>
      </c>
      <c r="O43" s="231">
        <v>0.18240764428659162</v>
      </c>
      <c r="P43" s="8"/>
      <c r="Q43" s="8"/>
    </row>
    <row r="44" spans="1:17" ht="15" customHeight="1">
      <c r="A44" s="162" t="s">
        <v>14</v>
      </c>
      <c r="B44" s="169"/>
      <c r="C44" s="176">
        <v>44894.133750389701</v>
      </c>
      <c r="D44" s="176">
        <v>47936.292331467499</v>
      </c>
      <c r="E44" s="176">
        <v>59110.8905385689</v>
      </c>
      <c r="F44" s="176">
        <v>68188.514348939803</v>
      </c>
      <c r="G44" s="176">
        <v>74356.859357869995</v>
      </c>
      <c r="H44" s="176">
        <v>70491.824722753096</v>
      </c>
      <c r="I44" s="176">
        <v>74520.343427888307</v>
      </c>
      <c r="J44" s="176">
        <v>71453.9450036669</v>
      </c>
      <c r="K44" s="176">
        <v>68768.5638080926</v>
      </c>
      <c r="L44" s="176">
        <v>72991.926571607502</v>
      </c>
      <c r="M44" s="97">
        <v>7.5745217236079061E-3</v>
      </c>
      <c r="N44" s="97">
        <v>6.1414148117164835E-2</v>
      </c>
      <c r="O44" s="126">
        <v>0.62586780218192528</v>
      </c>
      <c r="P44" s="8"/>
      <c r="Q44" s="8"/>
    </row>
    <row r="45" spans="1:17" ht="15" customHeight="1">
      <c r="A45" s="161" t="s">
        <v>24</v>
      </c>
      <c r="B45" s="172"/>
      <c r="C45" s="173">
        <v>45696.6528208335</v>
      </c>
      <c r="D45" s="173">
        <v>47790.763592988304</v>
      </c>
      <c r="E45" s="173">
        <v>50207.391796151103</v>
      </c>
      <c r="F45" s="173">
        <v>54296.7624189669</v>
      </c>
      <c r="G45" s="173">
        <v>56536.850541240899</v>
      </c>
      <c r="H45" s="173">
        <v>55733.062366897502</v>
      </c>
      <c r="I45" s="173">
        <v>57160.141081603702</v>
      </c>
      <c r="J45" s="173">
        <v>55622.4423000432</v>
      </c>
      <c r="K45" s="173">
        <v>43863.022927066399</v>
      </c>
      <c r="L45" s="173">
        <v>53036.588280850701</v>
      </c>
      <c r="M45" s="96">
        <v>5.5037153963218774E-3</v>
      </c>
      <c r="N45" s="96">
        <v>0.20914120235255385</v>
      </c>
      <c r="O45" s="125">
        <v>0.16062304363506597</v>
      </c>
      <c r="P45" s="8"/>
      <c r="Q45" s="8"/>
    </row>
    <row r="46" spans="1:17" ht="15" customHeight="1">
      <c r="A46" s="162" t="s">
        <v>15</v>
      </c>
      <c r="B46" s="169"/>
      <c r="C46" s="176">
        <v>107466.266049292</v>
      </c>
      <c r="D46" s="176">
        <v>115787.308233219</v>
      </c>
      <c r="E46" s="176">
        <v>133736.51004003701</v>
      </c>
      <c r="F46" s="176">
        <v>157826.65553638199</v>
      </c>
      <c r="G46" s="176">
        <v>172380.55100682899</v>
      </c>
      <c r="H46" s="176">
        <v>166833.014789023</v>
      </c>
      <c r="I46" s="176">
        <v>176688.213368572</v>
      </c>
      <c r="J46" s="176">
        <v>181558.17589234299</v>
      </c>
      <c r="K46" s="176">
        <v>168441.84622693001</v>
      </c>
      <c r="L46" s="176">
        <v>163346.80895281999</v>
      </c>
      <c r="M46" s="97">
        <v>1.6950832934672009E-2</v>
      </c>
      <c r="N46" s="97">
        <v>-3.0248049331196625E-2</v>
      </c>
      <c r="O46" s="126">
        <v>0.51998217634077881</v>
      </c>
      <c r="P46" s="8"/>
      <c r="Q46" s="8"/>
    </row>
    <row r="47" spans="1:17" ht="15" customHeight="1">
      <c r="A47" s="163" t="s">
        <v>305</v>
      </c>
      <c r="B47" s="187"/>
      <c r="C47" s="188">
        <v>4.1073058564215899</v>
      </c>
      <c r="D47" s="188">
        <v>3.3376800650730729</v>
      </c>
      <c r="E47" s="188">
        <v>2.9097388125956059</v>
      </c>
      <c r="F47" s="188">
        <v>7.9511242602020502</v>
      </c>
      <c r="G47" s="188">
        <v>4.2926659788936377</v>
      </c>
      <c r="H47" s="188">
        <v>53.593388421460986</v>
      </c>
      <c r="I47" s="188">
        <v>43.490489484742284</v>
      </c>
      <c r="J47" s="188">
        <v>3.3016803655773401</v>
      </c>
      <c r="K47" s="188">
        <v>1.3373902440071106</v>
      </c>
      <c r="L47" s="188">
        <v>3.8356808740645647</v>
      </c>
      <c r="M47" s="130">
        <v>3.9803646060673585E-7</v>
      </c>
      <c r="N47" s="130"/>
      <c r="O47" s="131"/>
      <c r="P47" s="8"/>
      <c r="Q47" s="8"/>
    </row>
    <row r="48" spans="1:17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5"/>
      <c r="O48" s="45"/>
      <c r="P48" s="40"/>
      <c r="Q48" s="40"/>
    </row>
    <row r="49" spans="1:17">
      <c r="A49" s="44" t="s">
        <v>129</v>
      </c>
      <c r="B49" s="44"/>
      <c r="C49" s="44" t="s">
        <v>142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5"/>
      <c r="O49" s="45"/>
      <c r="P49" s="40"/>
      <c r="Q49" s="40"/>
    </row>
    <row r="50" spans="1:17">
      <c r="A50" s="44"/>
      <c r="B50" s="44"/>
      <c r="C50" s="44" t="s">
        <v>66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45"/>
      <c r="P50" s="40"/>
      <c r="Q50" s="40"/>
    </row>
    <row r="51" spans="1:17">
      <c r="A51" s="44"/>
      <c r="B51" s="44"/>
      <c r="C51" s="44" t="s">
        <v>67</v>
      </c>
      <c r="D51" s="44"/>
      <c r="E51" s="44"/>
      <c r="F51" s="44"/>
      <c r="G51" s="44"/>
      <c r="H51" s="44"/>
      <c r="I51" s="44"/>
      <c r="J51" s="44"/>
      <c r="K51" s="44"/>
      <c r="L51" s="44"/>
      <c r="M51" s="49"/>
      <c r="N51" s="45"/>
      <c r="O51" s="45"/>
      <c r="P51" s="40"/>
      <c r="Q51" s="40"/>
    </row>
    <row r="52" spans="1:17">
      <c r="A52" s="44"/>
      <c r="B52" s="44"/>
      <c r="C52" s="44" t="s">
        <v>74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5"/>
      <c r="O52" s="45"/>
      <c r="P52" s="40"/>
      <c r="Q52" s="40"/>
    </row>
    <row r="53" spans="1:17">
      <c r="A53" s="44"/>
      <c r="B53" s="44"/>
      <c r="C53" s="44" t="s">
        <v>68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5"/>
      <c r="O53" s="45"/>
      <c r="P53" s="40"/>
      <c r="Q53" s="40"/>
    </row>
    <row r="54" spans="1:17">
      <c r="A54" s="44"/>
      <c r="B54" s="44"/>
      <c r="C54" s="44" t="s">
        <v>69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5"/>
      <c r="O54" s="45"/>
      <c r="P54" s="40"/>
      <c r="Q54" s="40"/>
    </row>
    <row r="55" spans="1:17">
      <c r="A55" s="44"/>
      <c r="B55" s="44"/>
      <c r="C55" s="44" t="s">
        <v>70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5"/>
      <c r="O55" s="45"/>
      <c r="P55" s="40"/>
      <c r="Q55" s="40"/>
    </row>
    <row r="56" spans="1:17">
      <c r="A56" s="44"/>
      <c r="B56" s="44"/>
      <c r="C56" s="44" t="s">
        <v>71</v>
      </c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5"/>
      <c r="O56" s="45"/>
      <c r="P56" s="41"/>
      <c r="Q56" s="41"/>
    </row>
    <row r="57" spans="1:17">
      <c r="A57" s="44"/>
      <c r="B57" s="44"/>
      <c r="C57" s="44" t="s">
        <v>72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5"/>
      <c r="O57" s="45"/>
      <c r="P57" s="40"/>
      <c r="Q57" s="40"/>
    </row>
    <row r="58" spans="1:17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5"/>
      <c r="O58" s="45"/>
      <c r="P58" s="40"/>
      <c r="Q58" s="40"/>
    </row>
    <row r="59" spans="1:17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5"/>
      <c r="O59" s="45"/>
      <c r="P59" s="40"/>
      <c r="Q59" s="40"/>
    </row>
    <row r="60" spans="1:17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5"/>
      <c r="O60" s="45"/>
      <c r="P60" s="40"/>
      <c r="Q60" s="40"/>
    </row>
  </sheetData>
  <mergeCells count="6">
    <mergeCell ref="A7:B7"/>
    <mergeCell ref="A4:B6"/>
    <mergeCell ref="C4:L5"/>
    <mergeCell ref="A1:O1"/>
    <mergeCell ref="A2:M2"/>
    <mergeCell ref="M4:M5"/>
  </mergeCells>
  <hyperlinks>
    <hyperlink ref="Q1" location="INDICE!Área_de_impresión" display="INDICE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/>
  <dimension ref="A1:O63"/>
  <sheetViews>
    <sheetView showGridLines="0" zoomScale="90" zoomScaleNormal="90" workbookViewId="0">
      <selection sqref="A1:M1"/>
    </sheetView>
  </sheetViews>
  <sheetFormatPr baseColWidth="10" defaultRowHeight="12.75"/>
  <cols>
    <col min="1" max="1" width="15.7109375" style="8" customWidth="1"/>
    <col min="2" max="2" width="18.28515625" style="8" bestFit="1" customWidth="1"/>
    <col min="3" max="13" width="13.7109375" style="8" customWidth="1"/>
    <col min="14" max="14" width="1.7109375" style="8" customWidth="1"/>
    <col min="15" max="15" width="11.42578125" style="2"/>
    <col min="16" max="16384" width="11.42578125" style="8"/>
  </cols>
  <sheetData>
    <row r="1" spans="1:15" s="30" customFormat="1" ht="30" customHeight="1">
      <c r="A1" s="323" t="s">
        <v>54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8"/>
      <c r="O1" s="31" t="s">
        <v>134</v>
      </c>
    </row>
    <row r="2" spans="1:15" s="19" customFormat="1" ht="30" customHeight="1">
      <c r="A2" s="328" t="s">
        <v>151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8"/>
    </row>
    <row r="3" spans="1:15" ht="8.1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O3" s="40"/>
    </row>
    <row r="4" spans="1:15" ht="15" customHeight="1">
      <c r="A4" s="366" t="s">
        <v>224</v>
      </c>
      <c r="B4" s="367"/>
      <c r="C4" s="372">
        <v>2015</v>
      </c>
      <c r="D4" s="372">
        <v>2016</v>
      </c>
      <c r="E4" s="372">
        <v>2017</v>
      </c>
      <c r="F4" s="372">
        <v>2018</v>
      </c>
      <c r="G4" s="372">
        <v>2019</v>
      </c>
      <c r="H4" s="372">
        <v>2020</v>
      </c>
      <c r="I4" s="372">
        <v>2021</v>
      </c>
      <c r="J4" s="372">
        <v>2022</v>
      </c>
      <c r="K4" s="372">
        <v>2023</v>
      </c>
      <c r="L4" s="372">
        <v>2024</v>
      </c>
      <c r="M4" s="375" t="s">
        <v>156</v>
      </c>
      <c r="N4" s="40"/>
      <c r="O4" s="40"/>
    </row>
    <row r="5" spans="1:15" ht="15" customHeight="1">
      <c r="A5" s="368"/>
      <c r="B5" s="369"/>
      <c r="C5" s="373"/>
      <c r="D5" s="373"/>
      <c r="E5" s="373"/>
      <c r="F5" s="373"/>
      <c r="G5" s="373"/>
      <c r="H5" s="373"/>
      <c r="I5" s="373"/>
      <c r="J5" s="373"/>
      <c r="K5" s="373"/>
      <c r="L5" s="373"/>
      <c r="M5" s="376"/>
      <c r="N5" s="40"/>
      <c r="O5" s="40"/>
    </row>
    <row r="6" spans="1:15" ht="15" customHeight="1">
      <c r="A6" s="370"/>
      <c r="B6" s="371"/>
      <c r="C6" s="374">
        <v>2015</v>
      </c>
      <c r="D6" s="374">
        <v>2016</v>
      </c>
      <c r="E6" s="374">
        <v>2017</v>
      </c>
      <c r="F6" s="374">
        <v>2018</v>
      </c>
      <c r="G6" s="374">
        <v>2019</v>
      </c>
      <c r="H6" s="374">
        <v>2020</v>
      </c>
      <c r="I6" s="374">
        <v>2021</v>
      </c>
      <c r="J6" s="374">
        <v>2022</v>
      </c>
      <c r="K6" s="374">
        <v>2023</v>
      </c>
      <c r="L6" s="374">
        <v>2023</v>
      </c>
      <c r="M6" s="377" t="s">
        <v>145</v>
      </c>
      <c r="O6" s="8"/>
    </row>
    <row r="7" spans="1:15" s="5" customFormat="1" ht="15" customHeight="1">
      <c r="A7" s="344" t="s">
        <v>0</v>
      </c>
      <c r="B7" s="345"/>
      <c r="C7" s="144">
        <v>8.8216798935786371E-3</v>
      </c>
      <c r="D7" s="144">
        <v>8.9143138500890912E-3</v>
      </c>
      <c r="E7" s="144">
        <v>8.1961809311432744E-3</v>
      </c>
      <c r="F7" s="144">
        <v>7.5725911703055119E-3</v>
      </c>
      <c r="G7" s="144">
        <v>7.9975446451791745E-3</v>
      </c>
      <c r="H7" s="144">
        <v>5.8954149225105765E-3</v>
      </c>
      <c r="I7" s="144">
        <v>6.8732488022335766E-3</v>
      </c>
      <c r="J7" s="144">
        <v>8.5813325082493737E-3</v>
      </c>
      <c r="K7" s="144">
        <v>1.0358647218832338E-2</v>
      </c>
      <c r="L7" s="144">
        <v>1.1287809037715044E-2</v>
      </c>
      <c r="M7" s="242">
        <v>0.09</v>
      </c>
    </row>
    <row r="8" spans="1:15" ht="15" customHeight="1">
      <c r="A8" s="160" t="s">
        <v>141</v>
      </c>
      <c r="B8" s="169"/>
      <c r="C8" s="137">
        <v>9.1476396890563666E-3</v>
      </c>
      <c r="D8" s="137">
        <v>1.021005873514411E-2</v>
      </c>
      <c r="E8" s="137">
        <v>1.001322402719642E-2</v>
      </c>
      <c r="F8" s="137">
        <v>9.4009582951955564E-3</v>
      </c>
      <c r="G8" s="137">
        <v>8.2824411225804299E-3</v>
      </c>
      <c r="H8" s="137">
        <v>5.4650637670405214E-3</v>
      </c>
      <c r="I8" s="137">
        <v>7.7372540888927732E-3</v>
      </c>
      <c r="J8" s="137">
        <v>1.0269624117218766E-2</v>
      </c>
      <c r="K8" s="137">
        <v>1.2230342203591298E-2</v>
      </c>
      <c r="L8" s="137">
        <v>1.2746401633565807E-2</v>
      </c>
      <c r="M8" s="105">
        <v>0.05</v>
      </c>
      <c r="O8" s="8"/>
    </row>
    <row r="9" spans="1:15" ht="15" customHeight="1">
      <c r="A9" s="161" t="s">
        <v>104</v>
      </c>
      <c r="B9" s="172"/>
      <c r="C9" s="139">
        <v>1.5408445262142261E-2</v>
      </c>
      <c r="D9" s="139">
        <v>1.5683761290028322E-2</v>
      </c>
      <c r="E9" s="139">
        <v>1.5149897428091809E-2</v>
      </c>
      <c r="F9" s="139">
        <v>1.3942422246180775E-2</v>
      </c>
      <c r="G9" s="139">
        <v>1.4509484462937662E-2</v>
      </c>
      <c r="H9" s="139">
        <v>1.0511218389455188E-2</v>
      </c>
      <c r="I9" s="139">
        <v>1.298627237296018E-2</v>
      </c>
      <c r="J9" s="139">
        <v>1.5616997725546195E-2</v>
      </c>
      <c r="K9" s="139">
        <v>1.7816488188922248E-2</v>
      </c>
      <c r="L9" s="139">
        <v>2.0115472722225376E-2</v>
      </c>
      <c r="M9" s="107">
        <v>0.23</v>
      </c>
      <c r="O9" s="8"/>
    </row>
    <row r="10" spans="1:15" ht="15" customHeight="1">
      <c r="A10" s="162" t="s">
        <v>2</v>
      </c>
      <c r="B10" s="169"/>
      <c r="C10" s="140">
        <v>1.3145701354043174E-2</v>
      </c>
      <c r="D10" s="140">
        <v>1.3003598519322805E-2</v>
      </c>
      <c r="E10" s="140">
        <v>1.2463121669772164E-2</v>
      </c>
      <c r="F10" s="140">
        <v>1.1539630283113908E-2</v>
      </c>
      <c r="G10" s="140">
        <v>1.2568323496060465E-2</v>
      </c>
      <c r="H10" s="140">
        <v>9.1312345912779869E-3</v>
      </c>
      <c r="I10" s="140">
        <v>1.0721083694163913E-2</v>
      </c>
      <c r="J10" s="140">
        <v>1.2825391004600449E-2</v>
      </c>
      <c r="K10" s="140">
        <v>1.4711448493999083E-2</v>
      </c>
      <c r="L10" s="140">
        <v>1.6841950124571972E-2</v>
      </c>
      <c r="M10" s="109">
        <v>0.21</v>
      </c>
      <c r="O10" s="8"/>
    </row>
    <row r="11" spans="1:15" ht="15" customHeight="1">
      <c r="A11" s="161"/>
      <c r="B11" s="179" t="s">
        <v>93</v>
      </c>
      <c r="C11" s="205">
        <v>7.6358370849469118E-3</v>
      </c>
      <c r="D11" s="205">
        <v>7.8401984220163989E-3</v>
      </c>
      <c r="E11" s="205">
        <v>7.6125052186473297E-3</v>
      </c>
      <c r="F11" s="205">
        <v>6.9582754048156609E-3</v>
      </c>
      <c r="G11" s="205">
        <v>8.751070464430211E-3</v>
      </c>
      <c r="H11" s="205">
        <v>6.407165419947773E-3</v>
      </c>
      <c r="I11" s="205">
        <v>7.2669940121493984E-3</v>
      </c>
      <c r="J11" s="205">
        <v>1.0639774870180667E-2</v>
      </c>
      <c r="K11" s="205">
        <v>1.1124125501556727E-2</v>
      </c>
      <c r="L11" s="205">
        <v>1.3086955974036215E-2</v>
      </c>
      <c r="M11" s="199">
        <v>0.2</v>
      </c>
      <c r="O11" s="8"/>
    </row>
    <row r="12" spans="1:15" ht="15" customHeight="1">
      <c r="A12" s="162"/>
      <c r="B12" s="183" t="s">
        <v>94</v>
      </c>
      <c r="C12" s="206">
        <v>8.495528943173996E-3</v>
      </c>
      <c r="D12" s="206">
        <v>8.3940823181712122E-3</v>
      </c>
      <c r="E12" s="206">
        <v>8.8609776430992829E-3</v>
      </c>
      <c r="F12" s="206">
        <v>6.7575476138989161E-3</v>
      </c>
      <c r="G12" s="206">
        <v>7.1128462092616557E-3</v>
      </c>
      <c r="H12" s="206">
        <v>4.3919215014315231E-3</v>
      </c>
      <c r="I12" s="206">
        <v>5.0477567352301333E-3</v>
      </c>
      <c r="J12" s="206">
        <v>6.1786925937857371E-3</v>
      </c>
      <c r="K12" s="206">
        <v>6.4856604953591043E-3</v>
      </c>
      <c r="L12" s="206">
        <v>6.1861682088567693E-3</v>
      </c>
      <c r="M12" s="200">
        <v>-0.03</v>
      </c>
      <c r="O12" s="8"/>
    </row>
    <row r="13" spans="1:15" ht="15" customHeight="1">
      <c r="A13" s="161"/>
      <c r="B13" s="179" t="s">
        <v>95</v>
      </c>
      <c r="C13" s="205">
        <v>1.7843384490881357E-2</v>
      </c>
      <c r="D13" s="205">
        <v>1.9791674898391932E-2</v>
      </c>
      <c r="E13" s="205">
        <v>1.695886059257929E-2</v>
      </c>
      <c r="F13" s="205">
        <v>1.5830100255665211E-2</v>
      </c>
      <c r="G13" s="205">
        <v>1.6564401111841865E-2</v>
      </c>
      <c r="H13" s="205">
        <v>1.2103868578886196E-2</v>
      </c>
      <c r="I13" s="205">
        <v>1.5159343946204981E-2</v>
      </c>
      <c r="J13" s="205">
        <v>1.6107525260496375E-2</v>
      </c>
      <c r="K13" s="205">
        <v>1.8932554337365754E-2</v>
      </c>
      <c r="L13" s="205">
        <v>2.3543288412159115E-2</v>
      </c>
      <c r="M13" s="199">
        <v>0.46</v>
      </c>
      <c r="O13" s="8"/>
    </row>
    <row r="14" spans="1:15" ht="15" customHeight="1">
      <c r="A14" s="162"/>
      <c r="B14" s="183" t="s">
        <v>96</v>
      </c>
      <c r="C14" s="206">
        <v>2.5839302769026667E-2</v>
      </c>
      <c r="D14" s="206">
        <v>2.3675170980217319E-2</v>
      </c>
      <c r="E14" s="206">
        <v>2.3078864990173104E-2</v>
      </c>
      <c r="F14" s="206">
        <v>2.041661228136675E-2</v>
      </c>
      <c r="G14" s="206">
        <v>2.0706520327920329E-2</v>
      </c>
      <c r="H14" s="206">
        <v>1.5655207533599533E-2</v>
      </c>
      <c r="I14" s="206">
        <v>1.7919546046044586E-2</v>
      </c>
      <c r="J14" s="206">
        <v>2.2373851700413703E-2</v>
      </c>
      <c r="K14" s="206">
        <v>2.6053711401268033E-2</v>
      </c>
      <c r="L14" s="206">
        <v>2.9473105595927529E-2</v>
      </c>
      <c r="M14" s="200">
        <v>0.34</v>
      </c>
      <c r="O14" s="8"/>
    </row>
    <row r="15" spans="1:15" ht="15" customHeight="1">
      <c r="A15" s="161"/>
      <c r="B15" s="179" t="s">
        <v>97</v>
      </c>
      <c r="C15" s="205">
        <v>2.1392376197692072E-2</v>
      </c>
      <c r="D15" s="205">
        <v>2.2578307341116446E-2</v>
      </c>
      <c r="E15" s="205">
        <v>1.9418088465524341E-2</v>
      </c>
      <c r="F15" s="205">
        <v>1.8298012079932389E-2</v>
      </c>
      <c r="G15" s="205">
        <v>1.7936411877640949E-2</v>
      </c>
      <c r="H15" s="205">
        <v>1.337821602177492E-2</v>
      </c>
      <c r="I15" s="205">
        <v>1.5553611102850359E-2</v>
      </c>
      <c r="J15" s="205">
        <v>2.0097324584315845E-2</v>
      </c>
      <c r="K15" s="205">
        <v>2.2295926559022555E-2</v>
      </c>
      <c r="L15" s="205">
        <v>2.7761267071959347E-2</v>
      </c>
      <c r="M15" s="199">
        <v>0.55000000000000004</v>
      </c>
      <c r="O15" s="8"/>
    </row>
    <row r="16" spans="1:15" ht="15" customHeight="1">
      <c r="A16" s="162"/>
      <c r="B16" s="183" t="s">
        <v>98</v>
      </c>
      <c r="C16" s="206">
        <v>1.8379335838435359E-2</v>
      </c>
      <c r="D16" s="206">
        <v>2.0075689417813628E-2</v>
      </c>
      <c r="E16" s="206">
        <v>1.8662886082087691E-2</v>
      </c>
      <c r="F16" s="206">
        <v>1.6246630099749231E-2</v>
      </c>
      <c r="G16" s="206">
        <v>1.9622994926520851E-2</v>
      </c>
      <c r="H16" s="206">
        <v>1.2835889483971926E-2</v>
      </c>
      <c r="I16" s="206">
        <v>1.3855515848509746E-2</v>
      </c>
      <c r="J16" s="206">
        <v>1.8747403682479537E-2</v>
      </c>
      <c r="K16" s="206">
        <v>1.8764077082877841E-2</v>
      </c>
      <c r="L16" s="206">
        <v>2.0853823632111985E-2</v>
      </c>
      <c r="M16" s="200">
        <v>0.21</v>
      </c>
      <c r="O16" s="8"/>
    </row>
    <row r="17" spans="1:15" ht="15" customHeight="1">
      <c r="A17" s="161"/>
      <c r="B17" s="179" t="s">
        <v>99</v>
      </c>
      <c r="C17" s="205">
        <v>1.8658491081971051E-2</v>
      </c>
      <c r="D17" s="205">
        <v>1.7810395977035997E-2</v>
      </c>
      <c r="E17" s="205">
        <v>1.8877819666993728E-2</v>
      </c>
      <c r="F17" s="205">
        <v>1.6885272418429114E-2</v>
      </c>
      <c r="G17" s="205">
        <v>1.8369873538750914E-2</v>
      </c>
      <c r="H17" s="205">
        <v>1.3501912985009891E-2</v>
      </c>
      <c r="I17" s="205">
        <v>1.6134831767676668E-2</v>
      </c>
      <c r="J17" s="205">
        <v>1.7656168328701316E-2</v>
      </c>
      <c r="K17" s="205">
        <v>1.8889179352863595E-2</v>
      </c>
      <c r="L17" s="205">
        <v>2.194441563117808E-2</v>
      </c>
      <c r="M17" s="199">
        <v>0.3</v>
      </c>
      <c r="O17" s="8"/>
    </row>
    <row r="18" spans="1:15" ht="15" customHeight="1">
      <c r="A18" s="162"/>
      <c r="B18" s="183" t="s">
        <v>100</v>
      </c>
      <c r="C18" s="206">
        <v>2.6281051270366576E-2</v>
      </c>
      <c r="D18" s="206">
        <v>2.6015490026135686E-2</v>
      </c>
      <c r="E18" s="206">
        <v>2.4656744357832987E-2</v>
      </c>
      <c r="F18" s="206">
        <v>2.3983878233884454E-2</v>
      </c>
      <c r="G18" s="206">
        <v>2.6571414629026437E-2</v>
      </c>
      <c r="H18" s="206">
        <v>2.0604980553554999E-2</v>
      </c>
      <c r="I18" s="206">
        <v>2.550162918631824E-2</v>
      </c>
      <c r="J18" s="206">
        <v>2.7898862325745625E-2</v>
      </c>
      <c r="K18" s="206">
        <v>3.2165440699175034E-2</v>
      </c>
      <c r="L18" s="206">
        <v>3.8438900792371604E-2</v>
      </c>
      <c r="M18" s="200">
        <v>0.62</v>
      </c>
      <c r="O18" s="8"/>
    </row>
    <row r="19" spans="1:15" ht="15" customHeight="1">
      <c r="A19" s="161"/>
      <c r="B19" s="179" t="s">
        <v>101</v>
      </c>
      <c r="C19" s="205">
        <v>1.3091101066178298E-3</v>
      </c>
      <c r="D19" s="205">
        <v>1.244878911240405E-3</v>
      </c>
      <c r="E19" s="205">
        <v>1.2157443150854676E-3</v>
      </c>
      <c r="F19" s="205">
        <v>8.4122115098506209E-4</v>
      </c>
      <c r="G19" s="205">
        <v>1.2429211956134056E-3</v>
      </c>
      <c r="H19" s="205">
        <v>8.2191353080257482E-4</v>
      </c>
      <c r="I19" s="205">
        <v>1.2476234948433193E-3</v>
      </c>
      <c r="J19" s="205">
        <v>1.5533914615335784E-3</v>
      </c>
      <c r="K19" s="205">
        <v>1.9487681275820257E-3</v>
      </c>
      <c r="L19" s="205">
        <v>2.170552500498496E-3</v>
      </c>
      <c r="M19" s="199">
        <v>0.03</v>
      </c>
      <c r="O19" s="8"/>
    </row>
    <row r="20" spans="1:15" ht="15" customHeight="1">
      <c r="A20" s="162"/>
      <c r="B20" s="183" t="s">
        <v>102</v>
      </c>
      <c r="C20" s="206">
        <v>1.1603898547528487E-2</v>
      </c>
      <c r="D20" s="206">
        <v>7.9928733960133776E-3</v>
      </c>
      <c r="E20" s="206">
        <v>8.1957538059272105E-3</v>
      </c>
      <c r="F20" s="206">
        <v>8.7274262584923004E-3</v>
      </c>
      <c r="G20" s="206">
        <v>1.0977579309277589E-2</v>
      </c>
      <c r="H20" s="206">
        <v>8.391470547583036E-3</v>
      </c>
      <c r="I20" s="206">
        <v>8.3726421262543382E-3</v>
      </c>
      <c r="J20" s="206">
        <v>9.782984347912943E-3</v>
      </c>
      <c r="K20" s="206">
        <v>1.3610009641473924E-2</v>
      </c>
      <c r="L20" s="206">
        <v>1.964978333764919E-2</v>
      </c>
      <c r="M20" s="200">
        <v>0.6</v>
      </c>
      <c r="O20" s="8"/>
    </row>
    <row r="21" spans="1:15" ht="15" customHeight="1">
      <c r="A21" s="161"/>
      <c r="B21" s="179" t="s">
        <v>65</v>
      </c>
      <c r="C21" s="205">
        <v>2.5315245792680622E-3</v>
      </c>
      <c r="D21" s="205">
        <v>2.6072191728604877E-3</v>
      </c>
      <c r="E21" s="205">
        <v>2.3984443334241772E-3</v>
      </c>
      <c r="F21" s="205">
        <v>2.3260439074257711E-3</v>
      </c>
      <c r="G21" s="205">
        <v>2.4131261085216112E-3</v>
      </c>
      <c r="H21" s="205">
        <v>1.8341532129681202E-3</v>
      </c>
      <c r="I21" s="205">
        <v>2.1365949157141641E-3</v>
      </c>
      <c r="J21" s="205">
        <v>2.75285940763904E-3</v>
      </c>
      <c r="K21" s="205">
        <v>3.4336279778045243E-3</v>
      </c>
      <c r="L21" s="205">
        <v>3.5905396211034029E-3</v>
      </c>
      <c r="M21" s="199">
        <v>0.02</v>
      </c>
      <c r="O21" s="8"/>
    </row>
    <row r="22" spans="1:15" ht="15" customHeight="1">
      <c r="A22" s="162" t="s">
        <v>3</v>
      </c>
      <c r="B22" s="169"/>
      <c r="C22" s="140">
        <v>3.3844473249089726E-3</v>
      </c>
      <c r="D22" s="140">
        <v>2.6555918670788693E-3</v>
      </c>
      <c r="E22" s="140">
        <v>1.5070733280984068E-3</v>
      </c>
      <c r="F22" s="140">
        <v>1.3680003930751753E-3</v>
      </c>
      <c r="G22" s="140">
        <v>7.9111721140902444E-4</v>
      </c>
      <c r="H22" s="140">
        <v>4.2259960799548773E-4</v>
      </c>
      <c r="I22" s="140">
        <v>6.2788928212156099E-4</v>
      </c>
      <c r="J22" s="140">
        <v>8.2267520800803867E-4</v>
      </c>
      <c r="K22" s="140">
        <v>9.7044682195480101E-4</v>
      </c>
      <c r="L22" s="140">
        <v>1.2038702160264972E-3</v>
      </c>
      <c r="M22" s="109">
        <v>0.02</v>
      </c>
      <c r="O22" s="8"/>
    </row>
    <row r="23" spans="1:15" ht="15" customHeight="1">
      <c r="A23" s="161" t="s">
        <v>16</v>
      </c>
      <c r="B23" s="172"/>
      <c r="C23" s="139">
        <v>3.3195041314376217E-3</v>
      </c>
      <c r="D23" s="139">
        <v>3.2573006369545289E-3</v>
      </c>
      <c r="E23" s="139">
        <v>2.3863412715295312E-3</v>
      </c>
      <c r="F23" s="139">
        <v>3.2268899273685337E-3</v>
      </c>
      <c r="G23" s="139">
        <v>2.4845897362580803E-3</v>
      </c>
      <c r="H23" s="139">
        <v>2.1062187335918799E-3</v>
      </c>
      <c r="I23" s="139">
        <v>1.8751080994743512E-3</v>
      </c>
      <c r="J23" s="139">
        <v>2.4905437588468157E-3</v>
      </c>
      <c r="K23" s="139">
        <v>3.699454796869403E-3</v>
      </c>
      <c r="L23" s="139">
        <v>3.4991982359991731E-3</v>
      </c>
      <c r="M23" s="107">
        <v>-0.02</v>
      </c>
      <c r="O23" s="8"/>
    </row>
    <row r="24" spans="1:15" ht="15" customHeight="1">
      <c r="A24" s="162" t="s">
        <v>17</v>
      </c>
      <c r="B24" s="169"/>
      <c r="C24" s="140">
        <v>1.7831191783331838E-3</v>
      </c>
      <c r="D24" s="140">
        <v>1.3310174810309606E-3</v>
      </c>
      <c r="E24" s="140">
        <v>1.3766630828825725E-3</v>
      </c>
      <c r="F24" s="140">
        <v>1.2588646181748034E-3</v>
      </c>
      <c r="G24" s="140">
        <v>1.22968809035664E-3</v>
      </c>
      <c r="H24" s="140">
        <v>1.0185196826215338E-3</v>
      </c>
      <c r="I24" s="140">
        <v>1.2509383103982362E-3</v>
      </c>
      <c r="J24" s="140">
        <v>1.5090024758070808E-3</v>
      </c>
      <c r="K24" s="140">
        <v>2.2859500384885862E-3</v>
      </c>
      <c r="L24" s="140">
        <v>1.7189395275557253E-3</v>
      </c>
      <c r="M24" s="109">
        <v>-0.06</v>
      </c>
      <c r="O24" s="8"/>
    </row>
    <row r="25" spans="1:15" ht="15" customHeight="1">
      <c r="A25" s="161" t="s">
        <v>4</v>
      </c>
      <c r="B25" s="172"/>
      <c r="C25" s="139">
        <v>5.9816939782418718E-3</v>
      </c>
      <c r="D25" s="139">
        <v>6.6307420412073182E-3</v>
      </c>
      <c r="E25" s="139">
        <v>5.5042732782363598E-3</v>
      </c>
      <c r="F25" s="139">
        <v>4.917879849463353E-3</v>
      </c>
      <c r="G25" s="139">
        <v>5.2159798638612342E-3</v>
      </c>
      <c r="H25" s="139">
        <v>4.1425047957334444E-3</v>
      </c>
      <c r="I25" s="139">
        <v>4.4723959812891729E-3</v>
      </c>
      <c r="J25" s="139">
        <v>6.276489388903672E-3</v>
      </c>
      <c r="K25" s="139">
        <v>7.7813616873132832E-3</v>
      </c>
      <c r="L25" s="139">
        <v>8.5142424109312855E-3</v>
      </c>
      <c r="M25" s="107">
        <v>7.0000000000000007E-2</v>
      </c>
      <c r="O25" s="8"/>
    </row>
    <row r="26" spans="1:15" ht="15" customHeight="1">
      <c r="A26" s="162"/>
      <c r="B26" s="183" t="s">
        <v>51</v>
      </c>
      <c r="C26" s="206">
        <v>1.5197266087372929E-2</v>
      </c>
      <c r="D26" s="206">
        <v>1.6740036611622398E-2</v>
      </c>
      <c r="E26" s="206">
        <v>1.3463650275654354E-2</v>
      </c>
      <c r="F26" s="206">
        <v>1.210051190649286E-2</v>
      </c>
      <c r="G26" s="206">
        <v>1.2293437398713494E-2</v>
      </c>
      <c r="H26" s="206">
        <v>8.7443974960248784E-3</v>
      </c>
      <c r="I26" s="206">
        <v>8.9745001048141815E-3</v>
      </c>
      <c r="J26" s="206">
        <v>1.2991804069744562E-2</v>
      </c>
      <c r="K26" s="206">
        <v>1.704416952537726E-2</v>
      </c>
      <c r="L26" s="206">
        <v>1.7972215738431874E-2</v>
      </c>
      <c r="M26" s="200">
        <v>0.1</v>
      </c>
      <c r="O26" s="8"/>
    </row>
    <row r="27" spans="1:15" ht="15" customHeight="1">
      <c r="A27" s="161" t="s">
        <v>5</v>
      </c>
      <c r="B27" s="172"/>
      <c r="C27" s="139">
        <v>9.9152789483780289E-4</v>
      </c>
      <c r="D27" s="139">
        <v>1.1301965966388418E-3</v>
      </c>
      <c r="E27" s="139">
        <v>8.5940139882876372E-4</v>
      </c>
      <c r="F27" s="139">
        <v>1.0816928131161258E-3</v>
      </c>
      <c r="G27" s="139">
        <v>9.042010770367782E-4</v>
      </c>
      <c r="H27" s="139">
        <v>8.5593811924027444E-4</v>
      </c>
      <c r="I27" s="139">
        <v>6.3741952527851379E-4</v>
      </c>
      <c r="J27" s="139">
        <v>8.5484624949948415E-4</v>
      </c>
      <c r="K27" s="139">
        <v>1.1049592386659158E-3</v>
      </c>
      <c r="L27" s="139">
        <v>1.3011557207977165E-3</v>
      </c>
      <c r="M27" s="107">
        <v>0.02</v>
      </c>
      <c r="O27" s="8"/>
    </row>
    <row r="28" spans="1:15" ht="15" customHeight="1">
      <c r="A28" s="162" t="s">
        <v>6</v>
      </c>
      <c r="B28" s="169"/>
      <c r="C28" s="140">
        <v>1.1242385193679272E-3</v>
      </c>
      <c r="D28" s="140">
        <v>8.2061803534209802E-4</v>
      </c>
      <c r="E28" s="140">
        <v>8.126941275150791E-4</v>
      </c>
      <c r="F28" s="140">
        <v>8.2186652489737023E-4</v>
      </c>
      <c r="G28" s="140">
        <v>8.3043115293869249E-4</v>
      </c>
      <c r="H28" s="140">
        <v>6.8745961302502318E-4</v>
      </c>
      <c r="I28" s="140">
        <v>6.940741408148996E-4</v>
      </c>
      <c r="J28" s="140">
        <v>8.8751933951597807E-4</v>
      </c>
      <c r="K28" s="140">
        <v>1.1729898050143945E-3</v>
      </c>
      <c r="L28" s="140">
        <v>1.2137883528104867E-3</v>
      </c>
      <c r="M28" s="109">
        <v>0</v>
      </c>
      <c r="O28" s="8"/>
    </row>
    <row r="29" spans="1:15" ht="15" customHeight="1">
      <c r="A29" s="161" t="s">
        <v>18</v>
      </c>
      <c r="B29" s="172"/>
      <c r="C29" s="139">
        <v>1.352875530707405E-3</v>
      </c>
      <c r="D29" s="139">
        <v>1.214077769203704E-3</v>
      </c>
      <c r="E29" s="139">
        <v>1.4775651964388317E-3</v>
      </c>
      <c r="F29" s="139">
        <v>9.2360937871040379E-4</v>
      </c>
      <c r="G29" s="139">
        <v>1.470898668164134E-3</v>
      </c>
      <c r="H29" s="139">
        <v>9.4411551508235896E-4</v>
      </c>
      <c r="I29" s="139">
        <v>1.1606645051715763E-3</v>
      </c>
      <c r="J29" s="139">
        <v>1.4322300417002752E-3</v>
      </c>
      <c r="K29" s="139">
        <v>1.0477369701630188E-3</v>
      </c>
      <c r="L29" s="139">
        <v>1.1623852835320957E-3</v>
      </c>
      <c r="M29" s="107">
        <v>0.02</v>
      </c>
      <c r="O29" s="8"/>
    </row>
    <row r="30" spans="1:15" ht="15" customHeight="1">
      <c r="A30" s="162" t="s">
        <v>7</v>
      </c>
      <c r="B30" s="169"/>
      <c r="C30" s="140">
        <v>1.4260319507724329E-3</v>
      </c>
      <c r="D30" s="140">
        <v>1.598859031871706E-3</v>
      </c>
      <c r="E30" s="140">
        <v>1.415008787795863E-3</v>
      </c>
      <c r="F30" s="140">
        <v>1.4967260209516951E-3</v>
      </c>
      <c r="G30" s="140">
        <v>1.0872461192277122E-3</v>
      </c>
      <c r="H30" s="140">
        <v>1.0209478559023097E-3</v>
      </c>
      <c r="I30" s="140">
        <v>2.5194440927442142E-3</v>
      </c>
      <c r="J30" s="140">
        <v>9.7574114643355356E-4</v>
      </c>
      <c r="K30" s="140">
        <v>1.1633549795714521E-3</v>
      </c>
      <c r="L30" s="140">
        <v>9.0634978420491626E-4</v>
      </c>
      <c r="M30" s="109">
        <v>-0.03</v>
      </c>
      <c r="O30" s="8"/>
    </row>
    <row r="31" spans="1:15" ht="15" customHeight="1">
      <c r="A31" s="161" t="s">
        <v>21</v>
      </c>
      <c r="B31" s="172"/>
      <c r="C31" s="139">
        <v>8.4414021965679314E-4</v>
      </c>
      <c r="D31" s="139">
        <v>7.9454383027850316E-4</v>
      </c>
      <c r="E31" s="139">
        <v>6.3833117359435895E-4</v>
      </c>
      <c r="F31" s="139">
        <v>4.9689297758241896E-4</v>
      </c>
      <c r="G31" s="139">
        <v>7.3279337241215941E-4</v>
      </c>
      <c r="H31" s="139">
        <v>3.6159150100963756E-4</v>
      </c>
      <c r="I31" s="139">
        <v>4.8379027407846988E-4</v>
      </c>
      <c r="J31" s="139">
        <v>4.7241474004937974E-4</v>
      </c>
      <c r="K31" s="139">
        <v>7.6788054239243226E-4</v>
      </c>
      <c r="L31" s="139">
        <v>7.958802642524448E-4</v>
      </c>
      <c r="M31" s="107">
        <v>0</v>
      </c>
      <c r="O31" s="8"/>
    </row>
    <row r="32" spans="1:15" ht="15" customHeight="1">
      <c r="A32" s="162" t="s">
        <v>9</v>
      </c>
      <c r="B32" s="169"/>
      <c r="C32" s="140">
        <v>9.9679018378888971E-4</v>
      </c>
      <c r="D32" s="140">
        <v>1.5750666642006654E-3</v>
      </c>
      <c r="E32" s="140">
        <v>1.1877459965883672E-3</v>
      </c>
      <c r="F32" s="140">
        <v>1.0547989204954106E-3</v>
      </c>
      <c r="G32" s="140">
        <v>9.0721841681822046E-4</v>
      </c>
      <c r="H32" s="140">
        <v>3.1772718666559608E-4</v>
      </c>
      <c r="I32" s="140">
        <v>3.1550822008157643E-4</v>
      </c>
      <c r="J32" s="140">
        <v>7.8878076512316718E-4</v>
      </c>
      <c r="K32" s="140">
        <v>7.6661884420532321E-4</v>
      </c>
      <c r="L32" s="140">
        <v>8.288467774341308E-4</v>
      </c>
      <c r="M32" s="109">
        <v>0</v>
      </c>
      <c r="O32" s="8"/>
    </row>
    <row r="33" spans="1:15" ht="15" customHeight="1">
      <c r="A33" s="161" t="s">
        <v>8</v>
      </c>
      <c r="B33" s="172"/>
      <c r="C33" s="139">
        <v>9.9730938648711111E-3</v>
      </c>
      <c r="D33" s="139">
        <v>9.8231371111795023E-3</v>
      </c>
      <c r="E33" s="139">
        <v>7.7102306890365121E-3</v>
      </c>
      <c r="F33" s="139">
        <v>6.8050201851381706E-3</v>
      </c>
      <c r="G33" s="139">
        <v>7.3489579430964496E-3</v>
      </c>
      <c r="H33" s="139">
        <v>5.2208477639742214E-3</v>
      </c>
      <c r="I33" s="139">
        <v>5.4965278434501528E-3</v>
      </c>
      <c r="J33" s="139">
        <v>6.9430620511706917E-3</v>
      </c>
      <c r="K33" s="139">
        <v>9.4616671434935417E-3</v>
      </c>
      <c r="L33" s="139">
        <v>1.1013190479513348E-2</v>
      </c>
      <c r="M33" s="107">
        <v>0.15</v>
      </c>
      <c r="O33" s="8"/>
    </row>
    <row r="34" spans="1:15" ht="15" customHeight="1">
      <c r="A34" s="162"/>
      <c r="B34" s="183" t="s">
        <v>53</v>
      </c>
      <c r="C34" s="206">
        <v>1.5226034798351093E-2</v>
      </c>
      <c r="D34" s="206">
        <v>1.5917051245351525E-2</v>
      </c>
      <c r="E34" s="206">
        <v>1.2338548281339496E-2</v>
      </c>
      <c r="F34" s="206">
        <v>1.0615051135301786E-2</v>
      </c>
      <c r="G34" s="206">
        <v>1.1340149055041215E-2</v>
      </c>
      <c r="H34" s="206">
        <v>7.8724465171326162E-3</v>
      </c>
      <c r="I34" s="206">
        <v>8.2069984644713469E-3</v>
      </c>
      <c r="J34" s="206">
        <v>1.0737749660208306E-2</v>
      </c>
      <c r="K34" s="206">
        <v>1.4725650636122802E-2</v>
      </c>
      <c r="L34" s="206">
        <v>1.7141836275979001E-2</v>
      </c>
      <c r="M34" s="200">
        <v>0.24</v>
      </c>
      <c r="O34" s="8"/>
    </row>
    <row r="35" spans="1:15" ht="15" customHeight="1">
      <c r="A35" s="161" t="s">
        <v>19</v>
      </c>
      <c r="B35" s="172"/>
      <c r="C35" s="139">
        <v>1.3803926928852926E-3</v>
      </c>
      <c r="D35" s="139">
        <v>1.930864338907016E-3</v>
      </c>
      <c r="E35" s="139">
        <v>1.3655558684792398E-3</v>
      </c>
      <c r="F35" s="139">
        <v>1.0240101988490086E-3</v>
      </c>
      <c r="G35" s="139">
        <v>1.116061669232382E-3</v>
      </c>
      <c r="H35" s="139">
        <v>9.4642577496348518E-4</v>
      </c>
      <c r="I35" s="139">
        <v>1.0012808292161725E-3</v>
      </c>
      <c r="J35" s="139">
        <v>1.0887361852057688E-3</v>
      </c>
      <c r="K35" s="139">
        <v>1.3856449755908305E-3</v>
      </c>
      <c r="L35" s="139">
        <v>1.217072252624231E-3</v>
      </c>
      <c r="M35" s="107">
        <v>-0.02</v>
      </c>
      <c r="O35" s="8"/>
    </row>
    <row r="36" spans="1:15" ht="15" customHeight="1">
      <c r="A36" s="162" t="s">
        <v>20</v>
      </c>
      <c r="B36" s="169"/>
      <c r="C36" s="140">
        <v>5.8437118788719801E-3</v>
      </c>
      <c r="D36" s="140">
        <v>5.7349459791416254E-3</v>
      </c>
      <c r="E36" s="140">
        <v>3.9897313309317003E-3</v>
      </c>
      <c r="F36" s="140">
        <v>3.6590221111215621E-3</v>
      </c>
      <c r="G36" s="140">
        <v>3.8026805128704277E-3</v>
      </c>
      <c r="H36" s="140">
        <v>3.1465548625028909E-3</v>
      </c>
      <c r="I36" s="140">
        <v>3.577503737942645E-3</v>
      </c>
      <c r="J36" s="140">
        <v>4.2659636939113583E-3</v>
      </c>
      <c r="K36" s="140">
        <v>5.0289657492583167E-3</v>
      </c>
      <c r="L36" s="140">
        <v>5.7524048981194573E-3</v>
      </c>
      <c r="M36" s="109">
        <v>0.08</v>
      </c>
      <c r="O36" s="8"/>
    </row>
    <row r="37" spans="1:15" ht="15" customHeight="1">
      <c r="A37" s="161" t="s">
        <v>22</v>
      </c>
      <c r="B37" s="172"/>
      <c r="C37" s="139">
        <v>1.9016961498815165E-3</v>
      </c>
      <c r="D37" s="139">
        <v>1.8985538274611351E-3</v>
      </c>
      <c r="E37" s="139">
        <v>2.0449260962783987E-3</v>
      </c>
      <c r="F37" s="139">
        <v>1.6501088438331773E-3</v>
      </c>
      <c r="G37" s="139">
        <v>1.3370391774497417E-3</v>
      </c>
      <c r="H37" s="139">
        <v>1.1236108637316627E-3</v>
      </c>
      <c r="I37" s="139">
        <v>1.139833703129663E-3</v>
      </c>
      <c r="J37" s="139">
        <v>1.4822229177677854E-3</v>
      </c>
      <c r="K37" s="139">
        <v>2.0729435187407819E-3</v>
      </c>
      <c r="L37" s="139">
        <v>1.950298291129223E-3</v>
      </c>
      <c r="M37" s="107">
        <v>-0.01</v>
      </c>
      <c r="O37" s="8"/>
    </row>
    <row r="38" spans="1:15" ht="15" customHeight="1">
      <c r="A38" s="162" t="s">
        <v>10</v>
      </c>
      <c r="B38" s="169"/>
      <c r="C38" s="140">
        <v>1.9292207221039448E-4</v>
      </c>
      <c r="D38" s="140">
        <v>3.1809389913714802E-4</v>
      </c>
      <c r="E38" s="140">
        <v>2.1433854485843271E-4</v>
      </c>
      <c r="F38" s="140">
        <v>2.649133534275821E-4</v>
      </c>
      <c r="G38" s="140">
        <v>4.3243234023045076E-4</v>
      </c>
      <c r="H38" s="140">
        <v>4.870415858965205E-4</v>
      </c>
      <c r="I38" s="140">
        <v>4.8442028681295338E-4</v>
      </c>
      <c r="J38" s="140">
        <v>6.2541443725359772E-4</v>
      </c>
      <c r="K38" s="140">
        <v>7.7714395532738805E-4</v>
      </c>
      <c r="L38" s="140">
        <v>6.1606770312476846E-4</v>
      </c>
      <c r="M38" s="109">
        <v>-0.02</v>
      </c>
      <c r="O38" s="8"/>
    </row>
    <row r="39" spans="1:15" ht="15" customHeight="1">
      <c r="A39" s="161" t="s">
        <v>11</v>
      </c>
      <c r="B39" s="172"/>
      <c r="C39" s="139">
        <v>1.4013308077354687E-3</v>
      </c>
      <c r="D39" s="139">
        <v>1.9463103945575374E-3</v>
      </c>
      <c r="E39" s="139">
        <v>1.3441832596033107E-3</v>
      </c>
      <c r="F39" s="139">
        <v>9.4181312563835985E-4</v>
      </c>
      <c r="G39" s="139">
        <v>7.8181730200889996E-4</v>
      </c>
      <c r="H39" s="139">
        <v>5.7990690835162595E-4</v>
      </c>
      <c r="I39" s="139">
        <v>6.9007020726688365E-4</v>
      </c>
      <c r="J39" s="139">
        <v>1.1541653149117509E-3</v>
      </c>
      <c r="K39" s="139">
        <v>1.176438402173238E-3</v>
      </c>
      <c r="L39" s="139">
        <v>1.2680532136913477E-3</v>
      </c>
      <c r="M39" s="107">
        <v>0.01</v>
      </c>
      <c r="O39" s="8"/>
    </row>
    <row r="40" spans="1:15" ht="15" customHeight="1">
      <c r="A40" s="162" t="s">
        <v>12</v>
      </c>
      <c r="B40" s="169"/>
      <c r="C40" s="140">
        <v>1.6820912038146005E-3</v>
      </c>
      <c r="D40" s="140">
        <v>2.547009166848749E-3</v>
      </c>
      <c r="E40" s="140">
        <v>1.6615752946195419E-3</v>
      </c>
      <c r="F40" s="140">
        <v>1.7509844392413678E-3</v>
      </c>
      <c r="G40" s="140">
        <v>2.0028849379013437E-3</v>
      </c>
      <c r="H40" s="140">
        <v>1.234462564983365E-3</v>
      </c>
      <c r="I40" s="140">
        <v>9.5113203874024564E-4</v>
      </c>
      <c r="J40" s="140">
        <v>1.4223939209931458E-3</v>
      </c>
      <c r="K40" s="140">
        <v>1.9210779013076221E-3</v>
      </c>
      <c r="L40" s="140">
        <v>1.8202398943342822E-3</v>
      </c>
      <c r="M40" s="109">
        <v>-0.01</v>
      </c>
      <c r="O40" s="8"/>
    </row>
    <row r="41" spans="1:15" ht="15" customHeight="1">
      <c r="A41" s="161" t="s">
        <v>23</v>
      </c>
      <c r="B41" s="172"/>
      <c r="C41" s="139">
        <v>4.9259028558597121E-4</v>
      </c>
      <c r="D41" s="139">
        <v>6.9261502154609785E-4</v>
      </c>
      <c r="E41" s="139">
        <v>5.9574344438307703E-4</v>
      </c>
      <c r="F41" s="139">
        <v>5.958268341459739E-4</v>
      </c>
      <c r="G41" s="139">
        <v>5.4010980591324867E-4</v>
      </c>
      <c r="H41" s="139">
        <v>3.2899415730428824E-4</v>
      </c>
      <c r="I41" s="139">
        <v>4.7324010734546118E-4</v>
      </c>
      <c r="J41" s="139">
        <v>5.0756781488094603E-4</v>
      </c>
      <c r="K41" s="139">
        <v>5.8435725367588344E-4</v>
      </c>
      <c r="L41" s="139">
        <v>5.1395791745710161E-4</v>
      </c>
      <c r="M41" s="107">
        <v>-0.01</v>
      </c>
      <c r="O41" s="8"/>
    </row>
    <row r="42" spans="1:15" ht="15" customHeight="1">
      <c r="A42" s="162" t="s">
        <v>13</v>
      </c>
      <c r="B42" s="169"/>
      <c r="C42" s="140">
        <v>4.7771392092909905E-3</v>
      </c>
      <c r="D42" s="140">
        <v>4.7937096152843028E-3</v>
      </c>
      <c r="E42" s="140">
        <v>3.848488127970031E-3</v>
      </c>
      <c r="F42" s="140">
        <v>3.9624998929751812E-3</v>
      </c>
      <c r="G42" s="140">
        <v>5.3599861269939975E-3</v>
      </c>
      <c r="H42" s="140">
        <v>4.5713188094872329E-3</v>
      </c>
      <c r="I42" s="140">
        <v>4.8604138665603314E-3</v>
      </c>
      <c r="J42" s="140">
        <v>6.0924444252791676E-3</v>
      </c>
      <c r="K42" s="140">
        <v>7.9749025245066368E-3</v>
      </c>
      <c r="L42" s="140">
        <v>7.5974313600630011E-3</v>
      </c>
      <c r="M42" s="109">
        <v>-0.04</v>
      </c>
      <c r="O42" s="8"/>
    </row>
    <row r="43" spans="1:15" ht="15" customHeight="1">
      <c r="A43" s="161"/>
      <c r="B43" s="179" t="s">
        <v>50</v>
      </c>
      <c r="C43" s="205">
        <v>1.1198006329111776E-2</v>
      </c>
      <c r="D43" s="205">
        <v>1.0969611459865617E-2</v>
      </c>
      <c r="E43" s="205">
        <v>8.0327184114424351E-3</v>
      </c>
      <c r="F43" s="205">
        <v>8.2123887024195714E-3</v>
      </c>
      <c r="G43" s="205">
        <v>1.1005928321973311E-2</v>
      </c>
      <c r="H43" s="205">
        <v>9.6940029381334027E-3</v>
      </c>
      <c r="I43" s="205">
        <v>8.9634045770738344E-3</v>
      </c>
      <c r="J43" s="205">
        <v>1.260106961286536E-2</v>
      </c>
      <c r="K43" s="205">
        <v>1.6360629080870822E-2</v>
      </c>
      <c r="L43" s="205">
        <v>1.5166905564065872E-2</v>
      </c>
      <c r="M43" s="199">
        <v>-0.12</v>
      </c>
      <c r="O43" s="8"/>
    </row>
    <row r="44" spans="1:15" ht="15" customHeight="1">
      <c r="A44" s="162" t="s">
        <v>14</v>
      </c>
      <c r="B44" s="169"/>
      <c r="C44" s="140">
        <v>1.136005881827652E-3</v>
      </c>
      <c r="D44" s="140">
        <v>1.3976884056178505E-3</v>
      </c>
      <c r="E44" s="140">
        <v>1.3533885088028118E-3</v>
      </c>
      <c r="F44" s="140">
        <v>1.0265658471717144E-3</v>
      </c>
      <c r="G44" s="140">
        <v>8.0691950303102126E-4</v>
      </c>
      <c r="H44" s="140">
        <v>7.5186023639550997E-4</v>
      </c>
      <c r="I44" s="140">
        <v>8.4540673193439736E-4</v>
      </c>
      <c r="J44" s="140">
        <v>1.5254581114367625E-3</v>
      </c>
      <c r="K44" s="140">
        <v>1.2214883567208507E-3</v>
      </c>
      <c r="L44" s="140">
        <v>1.0549111883553374E-3</v>
      </c>
      <c r="M44" s="109">
        <v>-0.01</v>
      </c>
      <c r="O44" s="8"/>
    </row>
    <row r="45" spans="1:15" ht="15" customHeight="1">
      <c r="A45" s="161" t="s">
        <v>24</v>
      </c>
      <c r="B45" s="172"/>
      <c r="C45" s="139">
        <v>3.2825161306259548E-4</v>
      </c>
      <c r="D45" s="139">
        <v>6.6958545112459622E-4</v>
      </c>
      <c r="E45" s="139">
        <v>5.3776942067860654E-4</v>
      </c>
      <c r="F45" s="139">
        <v>7.3669217496524677E-4</v>
      </c>
      <c r="G45" s="139">
        <v>5.1293978568625609E-4</v>
      </c>
      <c r="H45" s="139">
        <v>4.306241031939909E-4</v>
      </c>
      <c r="I45" s="139">
        <v>4.5486241825193438E-4</v>
      </c>
      <c r="J45" s="139">
        <v>7.3711254494785382E-4</v>
      </c>
      <c r="K45" s="139">
        <v>1.0031228370457131E-3</v>
      </c>
      <c r="L45" s="139">
        <v>9.238904987727473E-4</v>
      </c>
      <c r="M45" s="107">
        <v>-0.01</v>
      </c>
      <c r="O45" s="8"/>
    </row>
    <row r="46" spans="1:15" ht="15" customHeight="1">
      <c r="A46" s="233" t="s">
        <v>15</v>
      </c>
      <c r="B46" s="234"/>
      <c r="C46" s="156">
        <v>2.4193638576848358E-3</v>
      </c>
      <c r="D46" s="156">
        <v>3.212787357062632E-3</v>
      </c>
      <c r="E46" s="156">
        <v>2.4974481530885594E-3</v>
      </c>
      <c r="F46" s="156">
        <v>2.6928277644585174E-3</v>
      </c>
      <c r="G46" s="156">
        <v>2.7961391072529127E-3</v>
      </c>
      <c r="H46" s="156">
        <v>2.6253796381603169E-3</v>
      </c>
      <c r="I46" s="156">
        <v>2.7732466736638448E-3</v>
      </c>
      <c r="J46" s="156">
        <v>4.0042261739349208E-3</v>
      </c>
      <c r="K46" s="156">
        <v>4.1498001574875034E-3</v>
      </c>
      <c r="L46" s="156">
        <v>3.1221913869606418E-3</v>
      </c>
      <c r="M46" s="111">
        <v>-0.1</v>
      </c>
      <c r="O46" s="8"/>
    </row>
    <row r="47" spans="1:15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O47" s="40"/>
    </row>
    <row r="48" spans="1:15">
      <c r="A48" s="44" t="s">
        <v>143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O48" s="40"/>
    </row>
    <row r="49" spans="1:1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O49" s="40"/>
    </row>
    <row r="50" spans="1:15">
      <c r="A50" s="44" t="s">
        <v>129</v>
      </c>
      <c r="B50" s="44"/>
      <c r="C50" s="44" t="s">
        <v>142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O50" s="40"/>
    </row>
    <row r="51" spans="1:15">
      <c r="A51" s="44"/>
      <c r="B51" s="44"/>
      <c r="C51" s="44" t="s">
        <v>66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O51" s="40"/>
    </row>
    <row r="52" spans="1:15">
      <c r="A52" s="44"/>
      <c r="B52" s="44"/>
      <c r="C52" s="44" t="s">
        <v>67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O52" s="40"/>
    </row>
    <row r="53" spans="1:15">
      <c r="A53" s="44"/>
      <c r="B53" s="44"/>
      <c r="C53" s="44" t="s">
        <v>74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O53" s="40"/>
    </row>
    <row r="54" spans="1:15">
      <c r="A54" s="44"/>
      <c r="B54" s="44"/>
      <c r="C54" s="44" t="s">
        <v>68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O54" s="40"/>
    </row>
    <row r="55" spans="1:15">
      <c r="A55" s="44"/>
      <c r="B55" s="44"/>
      <c r="C55" s="44" t="s">
        <v>69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O55" s="40"/>
    </row>
    <row r="56" spans="1:15">
      <c r="A56" s="44"/>
      <c r="B56" s="44"/>
      <c r="C56" s="44" t="s">
        <v>70</v>
      </c>
      <c r="D56" s="44"/>
      <c r="E56" s="44"/>
      <c r="F56" s="44"/>
      <c r="G56" s="44"/>
      <c r="H56" s="44"/>
      <c r="I56" s="44"/>
      <c r="J56" s="44"/>
      <c r="K56" s="44"/>
      <c r="L56" s="44"/>
      <c r="M56" s="44"/>
      <c r="O56" s="40"/>
    </row>
    <row r="57" spans="1:15">
      <c r="A57" s="44"/>
      <c r="B57" s="44"/>
      <c r="C57" s="44" t="s">
        <v>71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O57" s="40"/>
    </row>
    <row r="58" spans="1:15">
      <c r="A58" s="44"/>
      <c r="B58" s="44"/>
      <c r="C58" s="44" t="s">
        <v>72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O58" s="40"/>
    </row>
    <row r="59" spans="1:1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O59" s="41"/>
    </row>
    <row r="60" spans="1:15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O60" s="40"/>
    </row>
    <row r="61" spans="1:15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O61" s="8"/>
    </row>
    <row r="62" spans="1:15">
      <c r="O62" s="8"/>
    </row>
    <row r="63" spans="1:15">
      <c r="O63" s="8"/>
    </row>
  </sheetData>
  <mergeCells count="15">
    <mergeCell ref="A7:B7"/>
    <mergeCell ref="A2:M2"/>
    <mergeCell ref="A1:M1"/>
    <mergeCell ref="A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  <mergeCell ref="M4:M6"/>
  </mergeCells>
  <hyperlinks>
    <hyperlink ref="O1" location="INDICE!Área_de_impresión" display="INDICE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/>
  <dimension ref="A1:V70"/>
  <sheetViews>
    <sheetView showGridLines="0" zoomScale="90" zoomScaleNormal="90" workbookViewId="0">
      <selection sqref="A1:T1"/>
    </sheetView>
  </sheetViews>
  <sheetFormatPr baseColWidth="10" defaultRowHeight="12.75"/>
  <cols>
    <col min="1" max="1" width="11.42578125" style="8"/>
    <col min="2" max="2" width="20.28515625" style="8" customWidth="1"/>
    <col min="3" max="20" width="13.7109375" style="8" customWidth="1"/>
    <col min="21" max="21" width="1.7109375" style="2" customWidth="1"/>
    <col min="22" max="22" width="13.7109375" style="2" customWidth="1"/>
    <col min="23" max="16384" width="11.42578125" style="8"/>
  </cols>
  <sheetData>
    <row r="1" spans="1:22" s="30" customFormat="1" ht="30" customHeight="1">
      <c r="A1" s="323" t="s">
        <v>54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5"/>
      <c r="V1" s="31" t="s">
        <v>134</v>
      </c>
    </row>
    <row r="2" spans="1:22" ht="30" customHeight="1">
      <c r="A2" s="365" t="s">
        <v>295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38"/>
      <c r="U2" s="19"/>
    </row>
    <row r="3" spans="1:22" ht="8.1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0"/>
      <c r="V3" s="40"/>
    </row>
    <row r="4" spans="1:22" s="5" customFormat="1" ht="23.25" customHeight="1">
      <c r="A4" s="378" t="s">
        <v>224</v>
      </c>
      <c r="B4" s="379"/>
      <c r="C4" s="243" t="s">
        <v>0</v>
      </c>
      <c r="D4" s="245" t="s">
        <v>145</v>
      </c>
      <c r="E4" s="243" t="s">
        <v>37</v>
      </c>
      <c r="F4" s="245" t="s">
        <v>145</v>
      </c>
      <c r="G4" s="243" t="s">
        <v>42</v>
      </c>
      <c r="H4" s="245" t="s">
        <v>145</v>
      </c>
      <c r="I4" s="243" t="s">
        <v>38</v>
      </c>
      <c r="J4" s="245" t="s">
        <v>145</v>
      </c>
      <c r="K4" s="243" t="s">
        <v>40</v>
      </c>
      <c r="L4" s="245" t="s">
        <v>145</v>
      </c>
      <c r="M4" s="243" t="s">
        <v>41</v>
      </c>
      <c r="N4" s="245" t="s">
        <v>145</v>
      </c>
      <c r="O4" s="243" t="s">
        <v>39</v>
      </c>
      <c r="P4" s="245" t="s">
        <v>145</v>
      </c>
      <c r="Q4" s="243" t="s">
        <v>103</v>
      </c>
      <c r="R4" s="245" t="s">
        <v>145</v>
      </c>
      <c r="S4" s="243" t="s">
        <v>1</v>
      </c>
      <c r="T4" s="246" t="s">
        <v>145</v>
      </c>
    </row>
    <row r="5" spans="1:22" s="5" customFormat="1" ht="15" customHeight="1">
      <c r="A5" s="349" t="s">
        <v>0</v>
      </c>
      <c r="B5" s="350"/>
      <c r="C5" s="192">
        <v>108775</v>
      </c>
      <c r="D5" s="244">
        <v>1</v>
      </c>
      <c r="E5" s="192">
        <v>57018</v>
      </c>
      <c r="F5" s="244">
        <v>1</v>
      </c>
      <c r="G5" s="192">
        <v>3343</v>
      </c>
      <c r="H5" s="244">
        <v>1</v>
      </c>
      <c r="I5" s="192">
        <v>508</v>
      </c>
      <c r="J5" s="244">
        <v>1</v>
      </c>
      <c r="K5" s="192">
        <v>217</v>
      </c>
      <c r="L5" s="244">
        <v>1</v>
      </c>
      <c r="M5" s="192">
        <v>334</v>
      </c>
      <c r="N5" s="244">
        <v>1</v>
      </c>
      <c r="O5" s="192">
        <v>47168</v>
      </c>
      <c r="P5" s="244">
        <v>1</v>
      </c>
      <c r="Q5" s="192">
        <v>117</v>
      </c>
      <c r="R5" s="244">
        <v>1</v>
      </c>
      <c r="S5" s="192">
        <v>70</v>
      </c>
      <c r="T5" s="247">
        <v>1</v>
      </c>
    </row>
    <row r="6" spans="1:22" ht="15" customHeight="1">
      <c r="A6" s="160" t="s">
        <v>141</v>
      </c>
      <c r="B6" s="169"/>
      <c r="C6" s="170">
        <v>13224</v>
      </c>
      <c r="D6" s="94">
        <v>0.12157205240174672</v>
      </c>
      <c r="E6" s="170">
        <v>6189</v>
      </c>
      <c r="F6" s="94">
        <v>0.10854467010417763</v>
      </c>
      <c r="G6" s="170">
        <v>295</v>
      </c>
      <c r="H6" s="94">
        <v>8.8244092132814839E-2</v>
      </c>
      <c r="I6" s="170">
        <v>38</v>
      </c>
      <c r="J6" s="94">
        <v>7.4803149606299218E-2</v>
      </c>
      <c r="K6" s="170">
        <v>37</v>
      </c>
      <c r="L6" s="94">
        <v>0.17050691244239632</v>
      </c>
      <c r="M6" s="170">
        <v>16</v>
      </c>
      <c r="N6" s="94">
        <v>4.790419161676647E-2</v>
      </c>
      <c r="O6" s="170">
        <v>6641</v>
      </c>
      <c r="P6" s="94">
        <v>0.14079460651289011</v>
      </c>
      <c r="Q6" s="170">
        <v>2</v>
      </c>
      <c r="R6" s="94">
        <v>1.7094017094017096E-2</v>
      </c>
      <c r="S6" s="170">
        <v>6</v>
      </c>
      <c r="T6" s="95">
        <v>8.5714285714285715E-2</v>
      </c>
      <c r="U6" s="8"/>
      <c r="V6" s="8"/>
    </row>
    <row r="7" spans="1:22" ht="15" customHeight="1">
      <c r="A7" s="161" t="s">
        <v>104</v>
      </c>
      <c r="B7" s="172"/>
      <c r="C7" s="173">
        <v>76627</v>
      </c>
      <c r="D7" s="96">
        <v>0.70445414847161569</v>
      </c>
      <c r="E7" s="173">
        <v>41417</v>
      </c>
      <c r="F7" s="96">
        <v>0.72638465046125789</v>
      </c>
      <c r="G7" s="173">
        <v>2118</v>
      </c>
      <c r="H7" s="96">
        <v>0.63356266826204011</v>
      </c>
      <c r="I7" s="173">
        <v>382</v>
      </c>
      <c r="J7" s="96">
        <v>0.75196850393700787</v>
      </c>
      <c r="K7" s="173">
        <v>191</v>
      </c>
      <c r="L7" s="96">
        <v>0.88018433179723499</v>
      </c>
      <c r="M7" s="173">
        <v>293</v>
      </c>
      <c r="N7" s="96">
        <v>0.8772455089820359</v>
      </c>
      <c r="O7" s="173">
        <v>32108</v>
      </c>
      <c r="P7" s="96">
        <v>0.68071573948439623</v>
      </c>
      <c r="Q7" s="173">
        <v>61</v>
      </c>
      <c r="R7" s="96">
        <v>0.5213675213675214</v>
      </c>
      <c r="S7" s="173">
        <v>57</v>
      </c>
      <c r="T7" s="125">
        <v>0.81428571428571428</v>
      </c>
      <c r="U7" s="8"/>
      <c r="V7" s="8"/>
    </row>
    <row r="8" spans="1:22" ht="15" customHeight="1">
      <c r="A8" s="162" t="s">
        <v>2</v>
      </c>
      <c r="B8" s="169"/>
      <c r="C8" s="176">
        <v>71861</v>
      </c>
      <c r="D8" s="97">
        <v>0.66063893357848769</v>
      </c>
      <c r="E8" s="176">
        <v>38550</v>
      </c>
      <c r="F8" s="97">
        <v>0.67610228348942436</v>
      </c>
      <c r="G8" s="176">
        <v>2129</v>
      </c>
      <c r="H8" s="97">
        <v>0.63685312593478915</v>
      </c>
      <c r="I8" s="176">
        <v>417</v>
      </c>
      <c r="J8" s="97">
        <v>0.82086614173228345</v>
      </c>
      <c r="K8" s="176">
        <v>163</v>
      </c>
      <c r="L8" s="97">
        <v>0.75115207373271886</v>
      </c>
      <c r="M8" s="176">
        <v>298</v>
      </c>
      <c r="N8" s="97">
        <v>0.89221556886227549</v>
      </c>
      <c r="O8" s="176">
        <v>30156</v>
      </c>
      <c r="P8" s="97">
        <v>0.63933175033921308</v>
      </c>
      <c r="Q8" s="176">
        <v>90</v>
      </c>
      <c r="R8" s="97">
        <v>0.76923076923076927</v>
      </c>
      <c r="S8" s="176">
        <v>58</v>
      </c>
      <c r="T8" s="126">
        <v>0.82857142857142863</v>
      </c>
      <c r="U8" s="8"/>
      <c r="V8" s="8"/>
    </row>
    <row r="9" spans="1:22" ht="15" customHeight="1">
      <c r="A9" s="161"/>
      <c r="B9" s="179" t="s">
        <v>93</v>
      </c>
      <c r="C9" s="180">
        <v>3735</v>
      </c>
      <c r="D9" s="202">
        <v>3.4336934038152148E-2</v>
      </c>
      <c r="E9" s="180">
        <v>1484</v>
      </c>
      <c r="F9" s="202">
        <v>2.6026868708127256E-2</v>
      </c>
      <c r="G9" s="180">
        <v>88</v>
      </c>
      <c r="H9" s="202">
        <v>2.6323661381992224E-2</v>
      </c>
      <c r="I9" s="180">
        <v>6</v>
      </c>
      <c r="J9" s="202">
        <v>1.1811023622047244E-2</v>
      </c>
      <c r="K9" s="180">
        <v>7</v>
      </c>
      <c r="L9" s="202">
        <v>3.2258064516129031E-2</v>
      </c>
      <c r="M9" s="180">
        <v>9</v>
      </c>
      <c r="N9" s="202">
        <v>2.6946107784431138E-2</v>
      </c>
      <c r="O9" s="180">
        <v>2138</v>
      </c>
      <c r="P9" s="202">
        <v>4.5327340569877882E-2</v>
      </c>
      <c r="Q9" s="180">
        <v>2</v>
      </c>
      <c r="R9" s="202">
        <v>1.7094017094017096E-2</v>
      </c>
      <c r="S9" s="180">
        <v>1</v>
      </c>
      <c r="T9" s="231">
        <v>1.4285714285714285E-2</v>
      </c>
      <c r="U9" s="8"/>
      <c r="V9" s="8"/>
    </row>
    <row r="10" spans="1:22" ht="15" customHeight="1">
      <c r="A10" s="162"/>
      <c r="B10" s="183" t="s">
        <v>94</v>
      </c>
      <c r="C10" s="184">
        <v>3029</v>
      </c>
      <c r="D10" s="203">
        <v>2.784647207538497E-2</v>
      </c>
      <c r="E10" s="184">
        <v>1317</v>
      </c>
      <c r="F10" s="203">
        <v>2.3097969062401347E-2</v>
      </c>
      <c r="G10" s="184">
        <v>92</v>
      </c>
      <c r="H10" s="203">
        <v>2.7520191444810049E-2</v>
      </c>
      <c r="I10" s="184">
        <v>15</v>
      </c>
      <c r="J10" s="203">
        <v>2.952755905511811E-2</v>
      </c>
      <c r="K10" s="184">
        <v>4</v>
      </c>
      <c r="L10" s="203">
        <v>1.8433179723502304E-2</v>
      </c>
      <c r="M10" s="184">
        <v>6</v>
      </c>
      <c r="N10" s="203">
        <v>1.7964071856287425E-2</v>
      </c>
      <c r="O10" s="184">
        <v>1593</v>
      </c>
      <c r="P10" s="203">
        <v>3.3772896879240163E-2</v>
      </c>
      <c r="Q10" s="184">
        <v>0</v>
      </c>
      <c r="R10" s="203">
        <v>0</v>
      </c>
      <c r="S10" s="184">
        <v>2</v>
      </c>
      <c r="T10" s="232">
        <v>2.8571428571428571E-2</v>
      </c>
      <c r="U10" s="8"/>
      <c r="V10" s="8"/>
    </row>
    <row r="11" spans="1:22" ht="15" customHeight="1">
      <c r="A11" s="161"/>
      <c r="B11" s="179" t="s">
        <v>95</v>
      </c>
      <c r="C11" s="180">
        <v>7144</v>
      </c>
      <c r="D11" s="202">
        <v>6.5676855895196506E-2</v>
      </c>
      <c r="E11" s="180">
        <v>3642</v>
      </c>
      <c r="F11" s="202">
        <v>6.3874565926549512E-2</v>
      </c>
      <c r="G11" s="180">
        <v>185</v>
      </c>
      <c r="H11" s="202">
        <v>5.5339515405324557E-2</v>
      </c>
      <c r="I11" s="180">
        <v>48</v>
      </c>
      <c r="J11" s="202">
        <v>9.4488188976377951E-2</v>
      </c>
      <c r="K11" s="180">
        <v>11</v>
      </c>
      <c r="L11" s="202">
        <v>5.0691244239631339E-2</v>
      </c>
      <c r="M11" s="180">
        <v>29</v>
      </c>
      <c r="N11" s="202">
        <v>8.6826347305389226E-2</v>
      </c>
      <c r="O11" s="180">
        <v>3214</v>
      </c>
      <c r="P11" s="202">
        <v>6.8139416553595664E-2</v>
      </c>
      <c r="Q11" s="180">
        <v>8</v>
      </c>
      <c r="R11" s="202">
        <v>6.8376068376068383E-2</v>
      </c>
      <c r="S11" s="180">
        <v>7</v>
      </c>
      <c r="T11" s="231">
        <v>0.1</v>
      </c>
      <c r="U11" s="8"/>
      <c r="V11" s="8"/>
    </row>
    <row r="12" spans="1:22" ht="15" customHeight="1">
      <c r="A12" s="162"/>
      <c r="B12" s="183" t="s">
        <v>96</v>
      </c>
      <c r="C12" s="184">
        <v>11171</v>
      </c>
      <c r="D12" s="203">
        <v>0.10269823029188692</v>
      </c>
      <c r="E12" s="184">
        <v>5704</v>
      </c>
      <c r="F12" s="203">
        <v>0.10003858430671016</v>
      </c>
      <c r="G12" s="184">
        <v>258</v>
      </c>
      <c r="H12" s="203">
        <v>7.717618905174993E-2</v>
      </c>
      <c r="I12" s="184">
        <v>59</v>
      </c>
      <c r="J12" s="203">
        <v>0.11614173228346457</v>
      </c>
      <c r="K12" s="184">
        <v>22</v>
      </c>
      <c r="L12" s="203">
        <v>0.10138248847926268</v>
      </c>
      <c r="M12" s="184">
        <v>44</v>
      </c>
      <c r="N12" s="203">
        <v>0.1317365269461078</v>
      </c>
      <c r="O12" s="184">
        <v>5070</v>
      </c>
      <c r="P12" s="203">
        <v>0.1074881275440977</v>
      </c>
      <c r="Q12" s="184">
        <v>6</v>
      </c>
      <c r="R12" s="203">
        <v>5.128205128205128E-2</v>
      </c>
      <c r="S12" s="184">
        <v>8</v>
      </c>
      <c r="T12" s="232">
        <v>0.11428571428571428</v>
      </c>
      <c r="U12" s="8"/>
      <c r="V12" s="8"/>
    </row>
    <row r="13" spans="1:22" ht="15" customHeight="1">
      <c r="A13" s="161"/>
      <c r="B13" s="179" t="s">
        <v>97</v>
      </c>
      <c r="C13" s="180">
        <v>5256</v>
      </c>
      <c r="D13" s="202">
        <v>4.8319926453688808E-2</v>
      </c>
      <c r="E13" s="180">
        <v>2748</v>
      </c>
      <c r="F13" s="202">
        <v>4.8195306745238344E-2</v>
      </c>
      <c r="G13" s="180">
        <v>138</v>
      </c>
      <c r="H13" s="202">
        <v>4.1280287167215074E-2</v>
      </c>
      <c r="I13" s="180">
        <v>29</v>
      </c>
      <c r="J13" s="202">
        <v>5.7086614173228349E-2</v>
      </c>
      <c r="K13" s="180">
        <v>10</v>
      </c>
      <c r="L13" s="202">
        <v>4.6082949308755762E-2</v>
      </c>
      <c r="M13" s="180">
        <v>20</v>
      </c>
      <c r="N13" s="202">
        <v>5.9880239520958084E-2</v>
      </c>
      <c r="O13" s="180">
        <v>2301</v>
      </c>
      <c r="P13" s="202">
        <v>4.878307327001357E-2</v>
      </c>
      <c r="Q13" s="180">
        <v>6</v>
      </c>
      <c r="R13" s="202">
        <v>5.128205128205128E-2</v>
      </c>
      <c r="S13" s="180">
        <v>4</v>
      </c>
      <c r="T13" s="231">
        <v>5.7142857142857141E-2</v>
      </c>
      <c r="U13" s="8"/>
      <c r="V13" s="8"/>
    </row>
    <row r="14" spans="1:22" ht="15" customHeight="1">
      <c r="A14" s="162"/>
      <c r="B14" s="183" t="s">
        <v>98</v>
      </c>
      <c r="C14" s="184">
        <v>3091</v>
      </c>
      <c r="D14" s="203">
        <v>2.8416455987129396E-2</v>
      </c>
      <c r="E14" s="184">
        <v>1716</v>
      </c>
      <c r="F14" s="203">
        <v>3.0095759233926128E-2</v>
      </c>
      <c r="G14" s="184">
        <v>101</v>
      </c>
      <c r="H14" s="203">
        <v>3.0212384086150165E-2</v>
      </c>
      <c r="I14" s="184">
        <v>33</v>
      </c>
      <c r="J14" s="203">
        <v>6.4960629921259838E-2</v>
      </c>
      <c r="K14" s="184">
        <v>5</v>
      </c>
      <c r="L14" s="203">
        <v>2.3041474654377881E-2</v>
      </c>
      <c r="M14" s="184">
        <v>8</v>
      </c>
      <c r="N14" s="203">
        <v>2.3952095808383235E-2</v>
      </c>
      <c r="O14" s="184">
        <v>1213</v>
      </c>
      <c r="P14" s="203">
        <v>2.571658751696065E-2</v>
      </c>
      <c r="Q14" s="184">
        <v>12</v>
      </c>
      <c r="R14" s="203">
        <v>0.10256410256410256</v>
      </c>
      <c r="S14" s="184">
        <v>3</v>
      </c>
      <c r="T14" s="232">
        <v>4.2857142857142858E-2</v>
      </c>
      <c r="U14" s="8"/>
      <c r="V14" s="8"/>
    </row>
    <row r="15" spans="1:22" ht="15" customHeight="1">
      <c r="A15" s="161"/>
      <c r="B15" s="179" t="s">
        <v>99</v>
      </c>
      <c r="C15" s="180">
        <v>10073</v>
      </c>
      <c r="D15" s="202">
        <v>9.2603999080671115E-2</v>
      </c>
      <c r="E15" s="180">
        <v>5733</v>
      </c>
      <c r="F15" s="202">
        <v>0.10054719562243503</v>
      </c>
      <c r="G15" s="180">
        <v>278</v>
      </c>
      <c r="H15" s="202">
        <v>8.3158839365839066E-2</v>
      </c>
      <c r="I15" s="180">
        <v>45</v>
      </c>
      <c r="J15" s="202">
        <v>8.8582677165354326E-2</v>
      </c>
      <c r="K15" s="180">
        <v>23</v>
      </c>
      <c r="L15" s="202">
        <v>0.10599078341013825</v>
      </c>
      <c r="M15" s="180">
        <v>46</v>
      </c>
      <c r="N15" s="202">
        <v>0.1377245508982036</v>
      </c>
      <c r="O15" s="180">
        <v>3936</v>
      </c>
      <c r="P15" s="202">
        <v>8.3446404341926725E-2</v>
      </c>
      <c r="Q15" s="180">
        <v>7</v>
      </c>
      <c r="R15" s="202">
        <v>5.9829059829059832E-2</v>
      </c>
      <c r="S15" s="180">
        <v>5</v>
      </c>
      <c r="T15" s="231">
        <v>7.1428571428571425E-2</v>
      </c>
      <c r="U15" s="8"/>
      <c r="V15" s="8"/>
    </row>
    <row r="16" spans="1:22" ht="15" customHeight="1">
      <c r="A16" s="162"/>
      <c r="B16" s="183" t="s">
        <v>100</v>
      </c>
      <c r="C16" s="184">
        <v>19904</v>
      </c>
      <c r="D16" s="203">
        <v>0.18298322224775915</v>
      </c>
      <c r="E16" s="184">
        <v>12884</v>
      </c>
      <c r="F16" s="203">
        <v>0.22596373075169246</v>
      </c>
      <c r="G16" s="184">
        <v>683</v>
      </c>
      <c r="H16" s="203">
        <v>0.20430750822614419</v>
      </c>
      <c r="I16" s="184">
        <v>109</v>
      </c>
      <c r="J16" s="203">
        <v>0.21456692913385828</v>
      </c>
      <c r="K16" s="184">
        <v>72</v>
      </c>
      <c r="L16" s="203">
        <v>0.33179723502304148</v>
      </c>
      <c r="M16" s="184">
        <v>115</v>
      </c>
      <c r="N16" s="203">
        <v>0.34431137724550898</v>
      </c>
      <c r="O16" s="184">
        <v>6002</v>
      </c>
      <c r="P16" s="203">
        <v>0.12724728629579377</v>
      </c>
      <c r="Q16" s="184">
        <v>18</v>
      </c>
      <c r="R16" s="203">
        <v>0.15384615384615385</v>
      </c>
      <c r="S16" s="184">
        <v>21</v>
      </c>
      <c r="T16" s="232">
        <v>0.3</v>
      </c>
      <c r="U16" s="8"/>
      <c r="V16" s="8"/>
    </row>
    <row r="17" spans="1:22" ht="15" customHeight="1">
      <c r="A17" s="161"/>
      <c r="B17" s="179" t="s">
        <v>101</v>
      </c>
      <c r="C17" s="180">
        <v>248</v>
      </c>
      <c r="D17" s="202">
        <v>2.2799356469777061E-3</v>
      </c>
      <c r="E17" s="180">
        <v>80</v>
      </c>
      <c r="F17" s="202">
        <v>1.4030656985513346E-3</v>
      </c>
      <c r="G17" s="180">
        <v>2</v>
      </c>
      <c r="H17" s="202">
        <v>5.9826503140891416E-4</v>
      </c>
      <c r="I17" s="180">
        <v>0</v>
      </c>
      <c r="J17" s="202">
        <v>0</v>
      </c>
      <c r="K17" s="180">
        <v>0</v>
      </c>
      <c r="L17" s="202">
        <v>0</v>
      </c>
      <c r="M17" s="180">
        <v>0</v>
      </c>
      <c r="N17" s="202">
        <v>0</v>
      </c>
      <c r="O17" s="180">
        <v>166</v>
      </c>
      <c r="P17" s="202">
        <v>3.5193351424694709E-3</v>
      </c>
      <c r="Q17" s="180">
        <v>0</v>
      </c>
      <c r="R17" s="202">
        <v>0</v>
      </c>
      <c r="S17" s="180">
        <v>0</v>
      </c>
      <c r="T17" s="231">
        <v>0</v>
      </c>
      <c r="U17" s="8"/>
      <c r="V17" s="8"/>
    </row>
    <row r="18" spans="1:22" ht="15" customHeight="1">
      <c r="A18" s="162"/>
      <c r="B18" s="183" t="s">
        <v>102</v>
      </c>
      <c r="C18" s="184">
        <v>3980</v>
      </c>
      <c r="D18" s="203">
        <v>3.6589289818432541E-2</v>
      </c>
      <c r="E18" s="184">
        <v>1545</v>
      </c>
      <c r="F18" s="203">
        <v>2.7096706303272652E-2</v>
      </c>
      <c r="G18" s="184">
        <v>103</v>
      </c>
      <c r="H18" s="203">
        <v>3.081064911755908E-2</v>
      </c>
      <c r="I18" s="184">
        <v>1</v>
      </c>
      <c r="J18" s="203">
        <v>1.968503937007874E-3</v>
      </c>
      <c r="K18" s="184">
        <v>9</v>
      </c>
      <c r="L18" s="203">
        <v>4.1474654377880185E-2</v>
      </c>
      <c r="M18" s="184">
        <v>17</v>
      </c>
      <c r="N18" s="203">
        <v>5.089820359281437E-2</v>
      </c>
      <c r="O18" s="184">
        <v>2304</v>
      </c>
      <c r="P18" s="203">
        <v>4.8846675712347354E-2</v>
      </c>
      <c r="Q18" s="184">
        <v>1</v>
      </c>
      <c r="R18" s="203">
        <v>8.5470085470085479E-3</v>
      </c>
      <c r="S18" s="184">
        <v>0</v>
      </c>
      <c r="T18" s="232">
        <v>0</v>
      </c>
      <c r="U18" s="8"/>
      <c r="V18" s="8"/>
    </row>
    <row r="19" spans="1:22" ht="15" customHeight="1">
      <c r="A19" s="161"/>
      <c r="B19" s="179" t="s">
        <v>65</v>
      </c>
      <c r="C19" s="180">
        <v>4230</v>
      </c>
      <c r="D19" s="202">
        <v>3.888761204320846E-2</v>
      </c>
      <c r="E19" s="180">
        <v>1697</v>
      </c>
      <c r="F19" s="202">
        <v>2.9762531130520187E-2</v>
      </c>
      <c r="G19" s="180">
        <v>201</v>
      </c>
      <c r="H19" s="202">
        <v>6.0125635656595872E-2</v>
      </c>
      <c r="I19" s="180">
        <v>72</v>
      </c>
      <c r="J19" s="202">
        <v>0.14173228346456693</v>
      </c>
      <c r="K19" s="180">
        <v>0</v>
      </c>
      <c r="L19" s="202">
        <v>0</v>
      </c>
      <c r="M19" s="180">
        <v>4</v>
      </c>
      <c r="N19" s="202">
        <v>1.1976047904191617E-2</v>
      </c>
      <c r="O19" s="180">
        <v>2219</v>
      </c>
      <c r="P19" s="202">
        <v>4.7044606512890094E-2</v>
      </c>
      <c r="Q19" s="180">
        <v>30</v>
      </c>
      <c r="R19" s="202">
        <v>0.25641025641025639</v>
      </c>
      <c r="S19" s="180">
        <v>7</v>
      </c>
      <c r="T19" s="231">
        <v>0.1</v>
      </c>
      <c r="U19" s="8"/>
      <c r="V19" s="8"/>
    </row>
    <row r="20" spans="1:22" ht="15" customHeight="1">
      <c r="A20" s="162" t="s">
        <v>3</v>
      </c>
      <c r="B20" s="169"/>
      <c r="C20" s="176">
        <v>49</v>
      </c>
      <c r="D20" s="97">
        <v>4.5047115605607906E-4</v>
      </c>
      <c r="E20" s="176">
        <v>21</v>
      </c>
      <c r="F20" s="97">
        <v>3.6830474586972537E-4</v>
      </c>
      <c r="G20" s="176">
        <v>2</v>
      </c>
      <c r="H20" s="97">
        <v>5.9826503140891416E-4</v>
      </c>
      <c r="I20" s="176">
        <v>0</v>
      </c>
      <c r="J20" s="97">
        <v>0</v>
      </c>
      <c r="K20" s="176">
        <v>0</v>
      </c>
      <c r="L20" s="97">
        <v>0</v>
      </c>
      <c r="M20" s="176">
        <v>0</v>
      </c>
      <c r="N20" s="97">
        <v>0</v>
      </c>
      <c r="O20" s="176">
        <v>26</v>
      </c>
      <c r="P20" s="97">
        <v>5.5122116689280867E-4</v>
      </c>
      <c r="Q20" s="176">
        <v>0</v>
      </c>
      <c r="R20" s="97">
        <v>0</v>
      </c>
      <c r="S20" s="176">
        <v>0</v>
      </c>
      <c r="T20" s="126">
        <v>0</v>
      </c>
      <c r="U20" s="8"/>
      <c r="V20" s="8"/>
    </row>
    <row r="21" spans="1:22" ht="15" customHeight="1">
      <c r="A21" s="161" t="s">
        <v>16</v>
      </c>
      <c r="B21" s="172"/>
      <c r="C21" s="173">
        <v>416</v>
      </c>
      <c r="D21" s="96">
        <v>3.82440818202712E-3</v>
      </c>
      <c r="E21" s="173">
        <v>67</v>
      </c>
      <c r="F21" s="96">
        <v>1.1750675225367427E-3</v>
      </c>
      <c r="G21" s="173">
        <v>11</v>
      </c>
      <c r="H21" s="96">
        <v>3.290457672749028E-3</v>
      </c>
      <c r="I21" s="173">
        <v>2</v>
      </c>
      <c r="J21" s="96">
        <v>3.937007874015748E-3</v>
      </c>
      <c r="K21" s="173">
        <v>0</v>
      </c>
      <c r="L21" s="96">
        <v>0</v>
      </c>
      <c r="M21" s="173">
        <v>0</v>
      </c>
      <c r="N21" s="96">
        <v>0</v>
      </c>
      <c r="O21" s="173">
        <v>336</v>
      </c>
      <c r="P21" s="96">
        <v>7.1234735413839888E-3</v>
      </c>
      <c r="Q21" s="173">
        <v>0</v>
      </c>
      <c r="R21" s="96">
        <v>0</v>
      </c>
      <c r="S21" s="173">
        <v>0</v>
      </c>
      <c r="T21" s="125">
        <v>0</v>
      </c>
      <c r="U21" s="8"/>
      <c r="V21" s="8"/>
    </row>
    <row r="22" spans="1:22" ht="15" customHeight="1">
      <c r="A22" s="162" t="s">
        <v>17</v>
      </c>
      <c r="B22" s="169"/>
      <c r="C22" s="176">
        <v>261</v>
      </c>
      <c r="D22" s="97">
        <v>2.3994484026660539E-3</v>
      </c>
      <c r="E22" s="176">
        <v>166</v>
      </c>
      <c r="F22" s="97">
        <v>2.9113613244940192E-3</v>
      </c>
      <c r="G22" s="176">
        <v>25</v>
      </c>
      <c r="H22" s="97">
        <v>7.4783128926114266E-3</v>
      </c>
      <c r="I22" s="176">
        <v>0</v>
      </c>
      <c r="J22" s="97">
        <v>0</v>
      </c>
      <c r="K22" s="176">
        <v>0</v>
      </c>
      <c r="L22" s="97">
        <v>0</v>
      </c>
      <c r="M22" s="176">
        <v>0</v>
      </c>
      <c r="N22" s="97">
        <v>0</v>
      </c>
      <c r="O22" s="176">
        <v>69</v>
      </c>
      <c r="P22" s="97">
        <v>1.4628561736770693E-3</v>
      </c>
      <c r="Q22" s="176">
        <v>1</v>
      </c>
      <c r="R22" s="97">
        <v>8.5470085470085479E-3</v>
      </c>
      <c r="S22" s="176">
        <v>0</v>
      </c>
      <c r="T22" s="126">
        <v>0</v>
      </c>
      <c r="U22" s="8"/>
      <c r="V22" s="8"/>
    </row>
    <row r="23" spans="1:22" ht="15" customHeight="1">
      <c r="A23" s="161" t="s">
        <v>4</v>
      </c>
      <c r="B23" s="172"/>
      <c r="C23" s="173">
        <v>8123</v>
      </c>
      <c r="D23" s="96">
        <v>7.467708572741899E-2</v>
      </c>
      <c r="E23" s="173">
        <v>4803</v>
      </c>
      <c r="F23" s="96">
        <v>8.4236556876775753E-2</v>
      </c>
      <c r="G23" s="173">
        <v>360</v>
      </c>
      <c r="H23" s="96">
        <v>0.10768770565360454</v>
      </c>
      <c r="I23" s="173">
        <v>10</v>
      </c>
      <c r="J23" s="96">
        <v>1.968503937007874E-2</v>
      </c>
      <c r="K23" s="173">
        <v>5</v>
      </c>
      <c r="L23" s="96">
        <v>2.3041474654377881E-2</v>
      </c>
      <c r="M23" s="173">
        <v>11</v>
      </c>
      <c r="N23" s="96">
        <v>3.2934131736526949E-2</v>
      </c>
      <c r="O23" s="173">
        <v>2923</v>
      </c>
      <c r="P23" s="96">
        <v>6.1969979647218454E-2</v>
      </c>
      <c r="Q23" s="173">
        <v>8</v>
      </c>
      <c r="R23" s="96">
        <v>6.8376068376068383E-2</v>
      </c>
      <c r="S23" s="173">
        <v>3</v>
      </c>
      <c r="T23" s="125">
        <v>4.2857142857142858E-2</v>
      </c>
      <c r="U23" s="8"/>
      <c r="V23" s="8"/>
    </row>
    <row r="24" spans="1:22" ht="15" customHeight="1">
      <c r="A24" s="162"/>
      <c r="B24" s="183" t="s">
        <v>51</v>
      </c>
      <c r="C24" s="184">
        <v>5680</v>
      </c>
      <c r="D24" s="203">
        <v>5.2217880946908754E-2</v>
      </c>
      <c r="E24" s="184">
        <v>3469</v>
      </c>
      <c r="F24" s="203">
        <v>6.0840436353432246E-2</v>
      </c>
      <c r="G24" s="184">
        <v>203</v>
      </c>
      <c r="H24" s="203">
        <v>6.0723900688004789E-2</v>
      </c>
      <c r="I24" s="184">
        <v>8</v>
      </c>
      <c r="J24" s="203">
        <v>1.5748031496062992E-2</v>
      </c>
      <c r="K24" s="184">
        <v>4</v>
      </c>
      <c r="L24" s="203">
        <v>1.8433179723502304E-2</v>
      </c>
      <c r="M24" s="184">
        <v>11</v>
      </c>
      <c r="N24" s="203">
        <v>3.2934131736526949E-2</v>
      </c>
      <c r="O24" s="184">
        <v>1982</v>
      </c>
      <c r="P24" s="203">
        <v>4.2020013568521031E-2</v>
      </c>
      <c r="Q24" s="184">
        <v>1</v>
      </c>
      <c r="R24" s="203">
        <v>8.5470085470085479E-3</v>
      </c>
      <c r="S24" s="184">
        <v>2</v>
      </c>
      <c r="T24" s="232">
        <v>2.8571428571428571E-2</v>
      </c>
      <c r="U24" s="8"/>
      <c r="V24" s="8"/>
    </row>
    <row r="25" spans="1:22" ht="15" customHeight="1">
      <c r="A25" s="161" t="s">
        <v>5</v>
      </c>
      <c r="B25" s="172"/>
      <c r="C25" s="173">
        <v>134</v>
      </c>
      <c r="D25" s="96">
        <v>1.2319007124798897E-3</v>
      </c>
      <c r="E25" s="173">
        <v>49</v>
      </c>
      <c r="F25" s="96">
        <v>8.5937774036269252E-4</v>
      </c>
      <c r="G25" s="173">
        <v>8</v>
      </c>
      <c r="H25" s="96">
        <v>2.3930601256356566E-3</v>
      </c>
      <c r="I25" s="173">
        <v>4</v>
      </c>
      <c r="J25" s="96">
        <v>7.874015748031496E-3</v>
      </c>
      <c r="K25" s="173">
        <v>0</v>
      </c>
      <c r="L25" s="96">
        <v>0</v>
      </c>
      <c r="M25" s="173">
        <v>0</v>
      </c>
      <c r="N25" s="96">
        <v>0</v>
      </c>
      <c r="O25" s="173">
        <v>72</v>
      </c>
      <c r="P25" s="96">
        <v>1.5264586160108548E-3</v>
      </c>
      <c r="Q25" s="173">
        <v>1</v>
      </c>
      <c r="R25" s="96">
        <v>8.5470085470085479E-3</v>
      </c>
      <c r="S25" s="173">
        <v>0</v>
      </c>
      <c r="T25" s="125">
        <v>0</v>
      </c>
      <c r="U25" s="8"/>
      <c r="V25" s="8"/>
    </row>
    <row r="26" spans="1:22" ht="15" customHeight="1">
      <c r="A26" s="162" t="s">
        <v>6</v>
      </c>
      <c r="B26" s="169"/>
      <c r="C26" s="176">
        <v>325</v>
      </c>
      <c r="D26" s="97">
        <v>2.9878188922086877E-3</v>
      </c>
      <c r="E26" s="176">
        <v>144</v>
      </c>
      <c r="F26" s="97">
        <v>2.5255182573924026E-3</v>
      </c>
      <c r="G26" s="176">
        <v>10</v>
      </c>
      <c r="H26" s="97">
        <v>2.9913251570445709E-3</v>
      </c>
      <c r="I26" s="176">
        <v>1</v>
      </c>
      <c r="J26" s="97">
        <v>1.968503937007874E-3</v>
      </c>
      <c r="K26" s="176">
        <v>0</v>
      </c>
      <c r="L26" s="97">
        <v>0</v>
      </c>
      <c r="M26" s="176">
        <v>0</v>
      </c>
      <c r="N26" s="97">
        <v>0</v>
      </c>
      <c r="O26" s="176">
        <v>170</v>
      </c>
      <c r="P26" s="97">
        <v>3.6041383989145184E-3</v>
      </c>
      <c r="Q26" s="176">
        <v>0</v>
      </c>
      <c r="R26" s="97">
        <v>0</v>
      </c>
      <c r="S26" s="176">
        <v>0</v>
      </c>
      <c r="T26" s="126">
        <v>0</v>
      </c>
      <c r="U26" s="8"/>
      <c r="V26" s="8"/>
    </row>
    <row r="27" spans="1:22" ht="15" customHeight="1">
      <c r="A27" s="161" t="s">
        <v>18</v>
      </c>
      <c r="B27" s="172"/>
      <c r="C27" s="173">
        <v>46</v>
      </c>
      <c r="D27" s="96">
        <v>4.2289128935876812E-4</v>
      </c>
      <c r="E27" s="173">
        <v>15</v>
      </c>
      <c r="F27" s="96">
        <v>2.6307481847837527E-4</v>
      </c>
      <c r="G27" s="173">
        <v>6</v>
      </c>
      <c r="H27" s="96">
        <v>1.7947950942267424E-3</v>
      </c>
      <c r="I27" s="173">
        <v>0</v>
      </c>
      <c r="J27" s="96">
        <v>0</v>
      </c>
      <c r="K27" s="173">
        <v>0</v>
      </c>
      <c r="L27" s="96">
        <v>0</v>
      </c>
      <c r="M27" s="173">
        <v>0</v>
      </c>
      <c r="N27" s="96">
        <v>0</v>
      </c>
      <c r="O27" s="173">
        <v>25</v>
      </c>
      <c r="P27" s="96">
        <v>5.3002035278154678E-4</v>
      </c>
      <c r="Q27" s="173">
        <v>0</v>
      </c>
      <c r="R27" s="96">
        <v>0</v>
      </c>
      <c r="S27" s="173">
        <v>0</v>
      </c>
      <c r="T27" s="125">
        <v>0</v>
      </c>
      <c r="U27" s="8"/>
      <c r="V27" s="8"/>
    </row>
    <row r="28" spans="1:22" ht="15" customHeight="1">
      <c r="A28" s="162" t="s">
        <v>7</v>
      </c>
      <c r="B28" s="169"/>
      <c r="C28" s="176">
        <v>44</v>
      </c>
      <c r="D28" s="97">
        <v>4.0450471156056077E-4</v>
      </c>
      <c r="E28" s="176">
        <v>21</v>
      </c>
      <c r="F28" s="97">
        <v>3.6830474586972537E-4</v>
      </c>
      <c r="G28" s="176">
        <v>4</v>
      </c>
      <c r="H28" s="97">
        <v>1.1965300628178283E-3</v>
      </c>
      <c r="I28" s="176">
        <v>0</v>
      </c>
      <c r="J28" s="97">
        <v>0</v>
      </c>
      <c r="K28" s="176">
        <v>0</v>
      </c>
      <c r="L28" s="97">
        <v>0</v>
      </c>
      <c r="M28" s="176">
        <v>1</v>
      </c>
      <c r="N28" s="97">
        <v>2.9940119760479044E-3</v>
      </c>
      <c r="O28" s="176">
        <v>18</v>
      </c>
      <c r="P28" s="97">
        <v>3.816146540027137E-4</v>
      </c>
      <c r="Q28" s="176">
        <v>0</v>
      </c>
      <c r="R28" s="97">
        <v>0</v>
      </c>
      <c r="S28" s="176">
        <v>0</v>
      </c>
      <c r="T28" s="126">
        <v>0</v>
      </c>
      <c r="U28" s="8"/>
      <c r="V28" s="8"/>
    </row>
    <row r="29" spans="1:22" ht="15" customHeight="1">
      <c r="A29" s="161" t="s">
        <v>21</v>
      </c>
      <c r="B29" s="172"/>
      <c r="C29" s="173">
        <v>80</v>
      </c>
      <c r="D29" s="96">
        <v>7.3546311192829237E-4</v>
      </c>
      <c r="E29" s="173">
        <v>51</v>
      </c>
      <c r="F29" s="96">
        <v>8.9445438282647585E-4</v>
      </c>
      <c r="G29" s="173">
        <v>9</v>
      </c>
      <c r="H29" s="96">
        <v>2.6921926413401138E-3</v>
      </c>
      <c r="I29" s="173">
        <v>3</v>
      </c>
      <c r="J29" s="96">
        <v>5.905511811023622E-3</v>
      </c>
      <c r="K29" s="173">
        <v>0</v>
      </c>
      <c r="L29" s="96">
        <v>0</v>
      </c>
      <c r="M29" s="173">
        <v>0</v>
      </c>
      <c r="N29" s="96">
        <v>0</v>
      </c>
      <c r="O29" s="173">
        <v>16</v>
      </c>
      <c r="P29" s="96">
        <v>3.3921302578018993E-4</v>
      </c>
      <c r="Q29" s="173">
        <v>1</v>
      </c>
      <c r="R29" s="96">
        <v>8.5470085470085479E-3</v>
      </c>
      <c r="S29" s="173">
        <v>0</v>
      </c>
      <c r="T29" s="125">
        <v>0</v>
      </c>
      <c r="U29" s="8"/>
      <c r="V29" s="8"/>
    </row>
    <row r="30" spans="1:22" ht="15" customHeight="1">
      <c r="A30" s="162" t="s">
        <v>9</v>
      </c>
      <c r="B30" s="169"/>
      <c r="C30" s="176">
        <v>24</v>
      </c>
      <c r="D30" s="97">
        <v>2.2063893357848771E-4</v>
      </c>
      <c r="E30" s="176">
        <v>7</v>
      </c>
      <c r="F30" s="97">
        <v>1.2276824862324177E-4</v>
      </c>
      <c r="G30" s="176">
        <v>5</v>
      </c>
      <c r="H30" s="97">
        <v>1.4956625785222854E-3</v>
      </c>
      <c r="I30" s="176">
        <v>0</v>
      </c>
      <c r="J30" s="97">
        <v>0</v>
      </c>
      <c r="K30" s="176">
        <v>0</v>
      </c>
      <c r="L30" s="97">
        <v>0</v>
      </c>
      <c r="M30" s="176">
        <v>0</v>
      </c>
      <c r="N30" s="97">
        <v>0</v>
      </c>
      <c r="O30" s="176">
        <v>12</v>
      </c>
      <c r="P30" s="97">
        <v>2.5440976933514245E-4</v>
      </c>
      <c r="Q30" s="176">
        <v>0</v>
      </c>
      <c r="R30" s="97">
        <v>0</v>
      </c>
      <c r="S30" s="176">
        <v>0</v>
      </c>
      <c r="T30" s="126">
        <v>0</v>
      </c>
      <c r="U30" s="8"/>
      <c r="V30" s="8"/>
    </row>
    <row r="31" spans="1:22" ht="15" customHeight="1">
      <c r="A31" s="161" t="s">
        <v>8</v>
      </c>
      <c r="B31" s="172"/>
      <c r="C31" s="173">
        <v>4766</v>
      </c>
      <c r="D31" s="96">
        <v>4.3815214893128014E-2</v>
      </c>
      <c r="E31" s="173">
        <v>2448</v>
      </c>
      <c r="F31" s="96">
        <v>4.2933810375670838E-2</v>
      </c>
      <c r="G31" s="173">
        <v>142</v>
      </c>
      <c r="H31" s="96">
        <v>4.2476817230032902E-2</v>
      </c>
      <c r="I31" s="173">
        <v>9</v>
      </c>
      <c r="J31" s="96">
        <v>1.7716535433070866E-2</v>
      </c>
      <c r="K31" s="173">
        <v>1</v>
      </c>
      <c r="L31" s="96">
        <v>4.608294930875576E-3</v>
      </c>
      <c r="M31" s="173">
        <v>2</v>
      </c>
      <c r="N31" s="96">
        <v>5.9880239520958087E-3</v>
      </c>
      <c r="O31" s="173">
        <v>2158</v>
      </c>
      <c r="P31" s="96">
        <v>4.5751356852103124E-2</v>
      </c>
      <c r="Q31" s="173">
        <v>5</v>
      </c>
      <c r="R31" s="96">
        <v>4.2735042735042736E-2</v>
      </c>
      <c r="S31" s="173">
        <v>1</v>
      </c>
      <c r="T31" s="125">
        <v>1.4285714285714285E-2</v>
      </c>
      <c r="U31" s="8"/>
      <c r="V31" s="8"/>
    </row>
    <row r="32" spans="1:22" ht="15" customHeight="1">
      <c r="A32" s="162"/>
      <c r="B32" s="183" t="s">
        <v>53</v>
      </c>
      <c r="C32" s="184">
        <v>3605</v>
      </c>
      <c r="D32" s="203">
        <v>3.3141806481268674E-2</v>
      </c>
      <c r="E32" s="184">
        <v>1746</v>
      </c>
      <c r="F32" s="203">
        <v>3.0621908870882879E-2</v>
      </c>
      <c r="G32" s="184">
        <v>92</v>
      </c>
      <c r="H32" s="203">
        <v>2.7520191444810049E-2</v>
      </c>
      <c r="I32" s="184">
        <v>5</v>
      </c>
      <c r="J32" s="203">
        <v>9.8425196850393699E-3</v>
      </c>
      <c r="K32" s="184">
        <v>1</v>
      </c>
      <c r="L32" s="203">
        <v>4.608294930875576E-3</v>
      </c>
      <c r="M32" s="184">
        <v>1</v>
      </c>
      <c r="N32" s="203">
        <v>2.9940119760479044E-3</v>
      </c>
      <c r="O32" s="184">
        <v>1758</v>
      </c>
      <c r="P32" s="203">
        <v>3.7271031207598372E-2</v>
      </c>
      <c r="Q32" s="184">
        <v>1</v>
      </c>
      <c r="R32" s="203">
        <v>8.5470085470085479E-3</v>
      </c>
      <c r="S32" s="184">
        <v>1</v>
      </c>
      <c r="T32" s="232">
        <v>1.4285714285714285E-2</v>
      </c>
      <c r="U32" s="8"/>
      <c r="V32" s="8"/>
    </row>
    <row r="33" spans="1:22" ht="15" customHeight="1">
      <c r="A33" s="161" t="s">
        <v>19</v>
      </c>
      <c r="B33" s="172"/>
      <c r="C33" s="173">
        <v>174</v>
      </c>
      <c r="D33" s="96">
        <v>1.5996322684440358E-3</v>
      </c>
      <c r="E33" s="173">
        <v>55</v>
      </c>
      <c r="F33" s="96">
        <v>9.6460766775404263E-4</v>
      </c>
      <c r="G33" s="173">
        <v>10</v>
      </c>
      <c r="H33" s="96">
        <v>2.9913251570445709E-3</v>
      </c>
      <c r="I33" s="173">
        <v>2</v>
      </c>
      <c r="J33" s="96">
        <v>3.937007874015748E-3</v>
      </c>
      <c r="K33" s="173">
        <v>0</v>
      </c>
      <c r="L33" s="96">
        <v>0</v>
      </c>
      <c r="M33" s="173">
        <v>0</v>
      </c>
      <c r="N33" s="96">
        <v>0</v>
      </c>
      <c r="O33" s="173">
        <v>106</v>
      </c>
      <c r="P33" s="96">
        <v>2.2472862957937587E-3</v>
      </c>
      <c r="Q33" s="173">
        <v>1</v>
      </c>
      <c r="R33" s="96">
        <v>8.5470085470085479E-3</v>
      </c>
      <c r="S33" s="173">
        <v>0</v>
      </c>
      <c r="T33" s="125">
        <v>0</v>
      </c>
      <c r="U33" s="8"/>
      <c r="V33" s="8"/>
    </row>
    <row r="34" spans="1:22" ht="15" customHeight="1">
      <c r="A34" s="162" t="s">
        <v>20</v>
      </c>
      <c r="B34" s="169"/>
      <c r="C34" s="176">
        <v>1094</v>
      </c>
      <c r="D34" s="97">
        <v>1.0057458055619398E-2</v>
      </c>
      <c r="E34" s="176">
        <v>535</v>
      </c>
      <c r="F34" s="97">
        <v>9.3830018590620509E-3</v>
      </c>
      <c r="G34" s="176">
        <v>58</v>
      </c>
      <c r="H34" s="97">
        <v>1.734968591085851E-2</v>
      </c>
      <c r="I34" s="176">
        <v>1</v>
      </c>
      <c r="J34" s="97">
        <v>1.968503937007874E-3</v>
      </c>
      <c r="K34" s="176">
        <v>1</v>
      </c>
      <c r="L34" s="97">
        <v>4.608294930875576E-3</v>
      </c>
      <c r="M34" s="176">
        <v>0</v>
      </c>
      <c r="N34" s="97">
        <v>0</v>
      </c>
      <c r="O34" s="176">
        <v>498</v>
      </c>
      <c r="P34" s="97">
        <v>1.0558005427408413E-2</v>
      </c>
      <c r="Q34" s="176">
        <v>0</v>
      </c>
      <c r="R34" s="97">
        <v>0</v>
      </c>
      <c r="S34" s="176">
        <v>1</v>
      </c>
      <c r="T34" s="126">
        <v>1.4285714285714285E-2</v>
      </c>
      <c r="U34" s="8"/>
      <c r="V34" s="8"/>
    </row>
    <row r="35" spans="1:22" ht="15" customHeight="1">
      <c r="A35" s="161" t="s">
        <v>22</v>
      </c>
      <c r="B35" s="172"/>
      <c r="C35" s="173">
        <v>412</v>
      </c>
      <c r="D35" s="96">
        <v>3.7876350264307054E-3</v>
      </c>
      <c r="E35" s="173">
        <v>203</v>
      </c>
      <c r="F35" s="96">
        <v>3.5602792100740115E-3</v>
      </c>
      <c r="G35" s="173">
        <v>24</v>
      </c>
      <c r="H35" s="96">
        <v>7.1791803769069695E-3</v>
      </c>
      <c r="I35" s="173">
        <v>0</v>
      </c>
      <c r="J35" s="96">
        <v>0</v>
      </c>
      <c r="K35" s="173">
        <v>0</v>
      </c>
      <c r="L35" s="96">
        <v>0</v>
      </c>
      <c r="M35" s="173">
        <v>0</v>
      </c>
      <c r="N35" s="96">
        <v>0</v>
      </c>
      <c r="O35" s="173">
        <v>185</v>
      </c>
      <c r="P35" s="96">
        <v>3.9221506105834468E-3</v>
      </c>
      <c r="Q35" s="173">
        <v>0</v>
      </c>
      <c r="R35" s="96">
        <v>0</v>
      </c>
      <c r="S35" s="173">
        <v>0</v>
      </c>
      <c r="T35" s="125">
        <v>0</v>
      </c>
      <c r="U35" s="8"/>
      <c r="V35" s="8"/>
    </row>
    <row r="36" spans="1:22" ht="15" customHeight="1">
      <c r="A36" s="162" t="s">
        <v>10</v>
      </c>
      <c r="B36" s="169"/>
      <c r="C36" s="176">
        <v>69</v>
      </c>
      <c r="D36" s="97">
        <v>6.3433693403815215E-4</v>
      </c>
      <c r="E36" s="176">
        <v>15</v>
      </c>
      <c r="F36" s="97">
        <v>2.6307481847837527E-4</v>
      </c>
      <c r="G36" s="176">
        <v>5</v>
      </c>
      <c r="H36" s="97">
        <v>1.4956625785222854E-3</v>
      </c>
      <c r="I36" s="176">
        <v>2</v>
      </c>
      <c r="J36" s="97">
        <v>3.937007874015748E-3</v>
      </c>
      <c r="K36" s="176">
        <v>0</v>
      </c>
      <c r="L36" s="97">
        <v>0</v>
      </c>
      <c r="M36" s="176">
        <v>0</v>
      </c>
      <c r="N36" s="97">
        <v>0</v>
      </c>
      <c r="O36" s="176">
        <v>47</v>
      </c>
      <c r="P36" s="97">
        <v>9.9643826322930802E-4</v>
      </c>
      <c r="Q36" s="176">
        <v>0</v>
      </c>
      <c r="R36" s="97">
        <v>0</v>
      </c>
      <c r="S36" s="176">
        <v>0</v>
      </c>
      <c r="T36" s="126">
        <v>0</v>
      </c>
      <c r="U36" s="8"/>
      <c r="V36" s="8"/>
    </row>
    <row r="37" spans="1:22" ht="15" customHeight="1">
      <c r="A37" s="161" t="s">
        <v>11</v>
      </c>
      <c r="B37" s="172"/>
      <c r="C37" s="173">
        <v>96</v>
      </c>
      <c r="D37" s="96">
        <v>8.8255573431395083E-4</v>
      </c>
      <c r="E37" s="173">
        <v>29</v>
      </c>
      <c r="F37" s="96">
        <v>5.0861131572485887E-4</v>
      </c>
      <c r="G37" s="173">
        <v>7</v>
      </c>
      <c r="H37" s="96">
        <v>2.0939276099311995E-3</v>
      </c>
      <c r="I37" s="173">
        <v>0</v>
      </c>
      <c r="J37" s="96">
        <v>0</v>
      </c>
      <c r="K37" s="173">
        <v>0</v>
      </c>
      <c r="L37" s="96">
        <v>0</v>
      </c>
      <c r="M37" s="173">
        <v>0</v>
      </c>
      <c r="N37" s="96">
        <v>0</v>
      </c>
      <c r="O37" s="173">
        <v>60</v>
      </c>
      <c r="P37" s="96">
        <v>1.2720488466757124E-3</v>
      </c>
      <c r="Q37" s="173">
        <v>0</v>
      </c>
      <c r="R37" s="96">
        <v>0</v>
      </c>
      <c r="S37" s="173">
        <v>0</v>
      </c>
      <c r="T37" s="125">
        <v>0</v>
      </c>
      <c r="U37" s="8"/>
      <c r="V37" s="8"/>
    </row>
    <row r="38" spans="1:22" ht="15" customHeight="1">
      <c r="A38" s="162" t="s">
        <v>12</v>
      </c>
      <c r="B38" s="169"/>
      <c r="C38" s="176">
        <v>141</v>
      </c>
      <c r="D38" s="97">
        <v>1.2962537347736152E-3</v>
      </c>
      <c r="E38" s="176">
        <v>90</v>
      </c>
      <c r="F38" s="97">
        <v>1.5784489108702515E-3</v>
      </c>
      <c r="G38" s="176">
        <v>11</v>
      </c>
      <c r="H38" s="97">
        <v>3.290457672749028E-3</v>
      </c>
      <c r="I38" s="176">
        <v>0</v>
      </c>
      <c r="J38" s="97">
        <v>0</v>
      </c>
      <c r="K38" s="176">
        <v>0</v>
      </c>
      <c r="L38" s="97">
        <v>0</v>
      </c>
      <c r="M38" s="176">
        <v>0</v>
      </c>
      <c r="N38" s="97">
        <v>0</v>
      </c>
      <c r="O38" s="176">
        <v>40</v>
      </c>
      <c r="P38" s="97">
        <v>8.4803256445047494E-4</v>
      </c>
      <c r="Q38" s="176">
        <v>0</v>
      </c>
      <c r="R38" s="97">
        <v>0</v>
      </c>
      <c r="S38" s="176">
        <v>0</v>
      </c>
      <c r="T38" s="126">
        <v>0</v>
      </c>
      <c r="U38" s="8"/>
      <c r="V38" s="8"/>
    </row>
    <row r="39" spans="1:22" ht="15" customHeight="1">
      <c r="A39" s="161" t="s">
        <v>23</v>
      </c>
      <c r="B39" s="172"/>
      <c r="C39" s="173">
        <v>33</v>
      </c>
      <c r="D39" s="96">
        <v>3.0337853367042061E-4</v>
      </c>
      <c r="E39" s="173">
        <v>21</v>
      </c>
      <c r="F39" s="96">
        <v>3.6830474586972537E-4</v>
      </c>
      <c r="G39" s="173">
        <v>3</v>
      </c>
      <c r="H39" s="96">
        <v>8.9739754711337118E-4</v>
      </c>
      <c r="I39" s="173">
        <v>0</v>
      </c>
      <c r="J39" s="96">
        <v>0</v>
      </c>
      <c r="K39" s="173">
        <v>0</v>
      </c>
      <c r="L39" s="96">
        <v>0</v>
      </c>
      <c r="M39" s="173">
        <v>0</v>
      </c>
      <c r="N39" s="96">
        <v>0</v>
      </c>
      <c r="O39" s="173">
        <v>9</v>
      </c>
      <c r="P39" s="96">
        <v>1.9080732700135685E-4</v>
      </c>
      <c r="Q39" s="173">
        <v>0</v>
      </c>
      <c r="R39" s="96">
        <v>0</v>
      </c>
      <c r="S39" s="173">
        <v>0</v>
      </c>
      <c r="T39" s="125">
        <v>0</v>
      </c>
      <c r="U39" s="8"/>
      <c r="V39" s="8"/>
    </row>
    <row r="40" spans="1:22" ht="15" customHeight="1">
      <c r="A40" s="162" t="s">
        <v>13</v>
      </c>
      <c r="B40" s="169"/>
      <c r="C40" s="176">
        <v>6705</v>
      </c>
      <c r="D40" s="97">
        <v>6.1641002068490006E-2</v>
      </c>
      <c r="E40" s="176">
        <v>3190</v>
      </c>
      <c r="F40" s="97">
        <v>5.5947244729734467E-2</v>
      </c>
      <c r="G40" s="176">
        <v>168</v>
      </c>
      <c r="H40" s="97">
        <v>5.0254262638348791E-2</v>
      </c>
      <c r="I40" s="176">
        <v>14</v>
      </c>
      <c r="J40" s="97">
        <v>2.7559055118110236E-2</v>
      </c>
      <c r="K40" s="176">
        <v>9</v>
      </c>
      <c r="L40" s="97">
        <v>4.1474654377880185E-2</v>
      </c>
      <c r="M40" s="176">
        <v>6</v>
      </c>
      <c r="N40" s="97">
        <v>1.7964071856287425E-2</v>
      </c>
      <c r="O40" s="176">
        <v>3311</v>
      </c>
      <c r="P40" s="97">
        <v>7.0195895522388058E-2</v>
      </c>
      <c r="Q40" s="176">
        <v>6</v>
      </c>
      <c r="R40" s="97">
        <v>5.128205128205128E-2</v>
      </c>
      <c r="S40" s="176">
        <v>1</v>
      </c>
      <c r="T40" s="126">
        <v>1.4285714285714285E-2</v>
      </c>
      <c r="U40" s="8"/>
      <c r="V40" s="8"/>
    </row>
    <row r="41" spans="1:22" ht="15" customHeight="1">
      <c r="A41" s="161"/>
      <c r="B41" s="179" t="s">
        <v>50</v>
      </c>
      <c r="C41" s="180">
        <v>3661</v>
      </c>
      <c r="D41" s="202">
        <v>3.3656630659618478E-2</v>
      </c>
      <c r="E41" s="180">
        <v>2006</v>
      </c>
      <c r="F41" s="202">
        <v>3.5181872391174714E-2</v>
      </c>
      <c r="G41" s="180">
        <v>67</v>
      </c>
      <c r="H41" s="202">
        <v>2.0041878552198623E-2</v>
      </c>
      <c r="I41" s="180">
        <v>4</v>
      </c>
      <c r="J41" s="202">
        <v>7.874015748031496E-3</v>
      </c>
      <c r="K41" s="180">
        <v>6</v>
      </c>
      <c r="L41" s="202">
        <v>2.7649769585253458E-2</v>
      </c>
      <c r="M41" s="180">
        <v>3</v>
      </c>
      <c r="N41" s="202">
        <v>8.9820359281437123E-3</v>
      </c>
      <c r="O41" s="180">
        <v>1573</v>
      </c>
      <c r="P41" s="202">
        <v>3.3348880597014928E-2</v>
      </c>
      <c r="Q41" s="180">
        <v>1</v>
      </c>
      <c r="R41" s="202">
        <v>8.5470085470085479E-3</v>
      </c>
      <c r="S41" s="180">
        <v>1</v>
      </c>
      <c r="T41" s="231">
        <v>1.4285714285714285E-2</v>
      </c>
      <c r="U41" s="8"/>
      <c r="V41" s="8"/>
    </row>
    <row r="42" spans="1:22" ht="15" customHeight="1">
      <c r="A42" s="162" t="s">
        <v>14</v>
      </c>
      <c r="B42" s="169"/>
      <c r="C42" s="176">
        <v>77</v>
      </c>
      <c r="D42" s="97">
        <v>7.0788324523098143E-4</v>
      </c>
      <c r="E42" s="176">
        <v>45</v>
      </c>
      <c r="F42" s="97">
        <v>7.8922445543512575E-4</v>
      </c>
      <c r="G42" s="176">
        <v>6</v>
      </c>
      <c r="H42" s="97">
        <v>1.7947950942267424E-3</v>
      </c>
      <c r="I42" s="176">
        <v>0</v>
      </c>
      <c r="J42" s="97">
        <v>0</v>
      </c>
      <c r="K42" s="176">
        <v>0</v>
      </c>
      <c r="L42" s="97">
        <v>0</v>
      </c>
      <c r="M42" s="176">
        <v>0</v>
      </c>
      <c r="N42" s="97">
        <v>0</v>
      </c>
      <c r="O42" s="176">
        <v>25</v>
      </c>
      <c r="P42" s="97">
        <v>5.3002035278154678E-4</v>
      </c>
      <c r="Q42" s="176">
        <v>1</v>
      </c>
      <c r="R42" s="97">
        <v>8.5470085470085479E-3</v>
      </c>
      <c r="S42" s="176">
        <v>0</v>
      </c>
      <c r="T42" s="126">
        <v>0</v>
      </c>
      <c r="U42" s="8"/>
      <c r="V42" s="8"/>
    </row>
    <row r="43" spans="1:22" ht="15" customHeight="1">
      <c r="A43" s="161" t="s">
        <v>24</v>
      </c>
      <c r="B43" s="172"/>
      <c r="C43" s="173">
        <v>49</v>
      </c>
      <c r="D43" s="96">
        <v>4.5047115605607906E-4</v>
      </c>
      <c r="E43" s="173">
        <v>42</v>
      </c>
      <c r="F43" s="96">
        <v>7.3660949173945075E-4</v>
      </c>
      <c r="G43" s="173">
        <v>3</v>
      </c>
      <c r="H43" s="96">
        <v>8.9739754711337118E-4</v>
      </c>
      <c r="I43" s="173">
        <v>1</v>
      </c>
      <c r="J43" s="96">
        <v>1.968503937007874E-3</v>
      </c>
      <c r="K43" s="173">
        <v>0</v>
      </c>
      <c r="L43" s="96">
        <v>0</v>
      </c>
      <c r="M43" s="173">
        <v>0</v>
      </c>
      <c r="N43" s="96">
        <v>0</v>
      </c>
      <c r="O43" s="173">
        <v>3</v>
      </c>
      <c r="P43" s="96">
        <v>6.3602442333785612E-5</v>
      </c>
      <c r="Q43" s="173">
        <v>0</v>
      </c>
      <c r="R43" s="96">
        <v>0</v>
      </c>
      <c r="S43" s="173">
        <v>0</v>
      </c>
      <c r="T43" s="125">
        <v>0</v>
      </c>
      <c r="U43" s="8"/>
      <c r="V43" s="8"/>
    </row>
    <row r="44" spans="1:22" ht="15" customHeight="1">
      <c r="A44" s="162" t="s">
        <v>15</v>
      </c>
      <c r="B44" s="169"/>
      <c r="C44" s="176">
        <v>510</v>
      </c>
      <c r="D44" s="97">
        <v>4.6885773385428641E-3</v>
      </c>
      <c r="E44" s="176">
        <v>226</v>
      </c>
      <c r="F44" s="97">
        <v>3.9636605984075205E-3</v>
      </c>
      <c r="G44" s="176">
        <v>24</v>
      </c>
      <c r="H44" s="97">
        <v>7.1791803769069695E-3</v>
      </c>
      <c r="I44" s="176">
        <v>2</v>
      </c>
      <c r="J44" s="97">
        <v>3.937007874015748E-3</v>
      </c>
      <c r="K44" s="176">
        <v>1</v>
      </c>
      <c r="L44" s="97">
        <v>4.608294930875576E-3</v>
      </c>
      <c r="M44" s="176">
        <v>0</v>
      </c>
      <c r="N44" s="97">
        <v>0</v>
      </c>
      <c r="O44" s="176">
        <v>257</v>
      </c>
      <c r="P44" s="97">
        <v>5.4486092265943016E-3</v>
      </c>
      <c r="Q44" s="176">
        <v>0</v>
      </c>
      <c r="R44" s="97">
        <v>0</v>
      </c>
      <c r="S44" s="176">
        <v>0</v>
      </c>
      <c r="T44" s="126">
        <v>0</v>
      </c>
      <c r="U44" s="8"/>
      <c r="V44" s="8"/>
    </row>
    <row r="45" spans="1:22" ht="15" customHeight="1">
      <c r="A45" s="163" t="s">
        <v>25</v>
      </c>
      <c r="B45" s="187"/>
      <c r="C45" s="188">
        <v>62</v>
      </c>
      <c r="D45" s="130">
        <v>5.6998391174442652E-4</v>
      </c>
      <c r="E45" s="188">
        <v>36</v>
      </c>
      <c r="F45" s="130">
        <v>6.3137956434810064E-4</v>
      </c>
      <c r="G45" s="188">
        <v>18</v>
      </c>
      <c r="H45" s="130">
        <v>5.3843852826802275E-3</v>
      </c>
      <c r="I45" s="188">
        <v>2</v>
      </c>
      <c r="J45" s="130">
        <v>3.937007874015748E-3</v>
      </c>
      <c r="K45" s="188">
        <v>0</v>
      </c>
      <c r="L45" s="130">
        <v>0</v>
      </c>
      <c r="M45" s="188">
        <v>0</v>
      </c>
      <c r="N45" s="130">
        <v>0</v>
      </c>
      <c r="O45" s="188">
        <v>5</v>
      </c>
      <c r="P45" s="130">
        <v>1.0600407055630937E-4</v>
      </c>
      <c r="Q45" s="188">
        <v>1</v>
      </c>
      <c r="R45" s="130">
        <v>8.5470085470085479E-3</v>
      </c>
      <c r="S45" s="188">
        <v>0</v>
      </c>
      <c r="T45" s="131">
        <v>0</v>
      </c>
      <c r="U45" s="8"/>
      <c r="V45" s="8"/>
    </row>
    <row r="46" spans="1:22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0"/>
      <c r="V46" s="40"/>
    </row>
    <row r="47" spans="1:22">
      <c r="A47" s="70" t="s">
        <v>129</v>
      </c>
      <c r="B47" s="70" t="s">
        <v>142</v>
      </c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44"/>
      <c r="S47" s="44"/>
      <c r="T47" s="44"/>
      <c r="U47" s="40"/>
      <c r="V47" s="40"/>
    </row>
    <row r="48" spans="1:22">
      <c r="A48" s="70"/>
      <c r="B48" s="70" t="s">
        <v>66</v>
      </c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44"/>
      <c r="S48" s="44"/>
      <c r="T48" s="44"/>
      <c r="U48" s="40"/>
      <c r="V48" s="40"/>
    </row>
    <row r="49" spans="1:22">
      <c r="A49" s="70"/>
      <c r="B49" s="70" t="s">
        <v>67</v>
      </c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44"/>
      <c r="S49" s="44"/>
      <c r="T49" s="44"/>
      <c r="U49" s="40"/>
      <c r="V49" s="40"/>
    </row>
    <row r="50" spans="1:22">
      <c r="A50" s="70"/>
      <c r="B50" s="70" t="s">
        <v>74</v>
      </c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44"/>
      <c r="S50" s="44"/>
      <c r="T50" s="44"/>
      <c r="U50" s="40"/>
      <c r="V50" s="40"/>
    </row>
    <row r="51" spans="1:22">
      <c r="A51" s="70"/>
      <c r="B51" s="70" t="s">
        <v>68</v>
      </c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44"/>
      <c r="S51" s="44"/>
      <c r="T51" s="44"/>
      <c r="U51" s="40"/>
      <c r="V51" s="40"/>
    </row>
    <row r="52" spans="1:22">
      <c r="A52" s="70"/>
      <c r="B52" s="70" t="s">
        <v>69</v>
      </c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44"/>
      <c r="S52" s="44"/>
      <c r="T52" s="44"/>
      <c r="U52" s="40"/>
      <c r="V52" s="40"/>
    </row>
    <row r="53" spans="1:22">
      <c r="A53" s="70"/>
      <c r="B53" s="70" t="s">
        <v>70</v>
      </c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44"/>
      <c r="S53" s="44"/>
      <c r="T53" s="44"/>
      <c r="U53" s="40"/>
      <c r="V53" s="40"/>
    </row>
    <row r="54" spans="1:22">
      <c r="A54" s="70"/>
      <c r="B54" s="70" t="s">
        <v>71</v>
      </c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44"/>
      <c r="S54" s="44"/>
      <c r="T54" s="44"/>
      <c r="U54" s="40"/>
      <c r="V54" s="40"/>
    </row>
    <row r="55" spans="1:22">
      <c r="A55" s="70"/>
      <c r="B55" s="70" t="s">
        <v>72</v>
      </c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44"/>
      <c r="S55" s="44"/>
      <c r="T55" s="44"/>
      <c r="U55" s="41"/>
      <c r="V55" s="41"/>
    </row>
    <row r="56" spans="1:22">
      <c r="A56" s="71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44"/>
      <c r="S56" s="44"/>
      <c r="T56" s="44"/>
      <c r="U56" s="40"/>
      <c r="V56" s="40"/>
    </row>
    <row r="57" spans="1:22">
      <c r="A57" s="38" t="s">
        <v>37</v>
      </c>
      <c r="B57" s="39" t="s">
        <v>52</v>
      </c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44"/>
      <c r="S57" s="44"/>
      <c r="T57" s="44"/>
      <c r="U57" s="40"/>
      <c r="V57" s="40"/>
    </row>
    <row r="58" spans="1:22">
      <c r="A58" s="38" t="s">
        <v>42</v>
      </c>
      <c r="B58" s="39" t="s">
        <v>43</v>
      </c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44"/>
      <c r="S58" s="44"/>
      <c r="T58" s="44"/>
      <c r="U58" s="40"/>
      <c r="V58" s="40"/>
    </row>
    <row r="59" spans="1:22">
      <c r="A59" s="38" t="s">
        <v>38</v>
      </c>
      <c r="B59" s="39" t="s">
        <v>44</v>
      </c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44"/>
      <c r="S59" s="44"/>
      <c r="T59" s="44"/>
      <c r="U59" s="40"/>
      <c r="V59" s="40"/>
    </row>
    <row r="60" spans="1:22">
      <c r="A60" s="38" t="s">
        <v>48</v>
      </c>
      <c r="B60" s="39" t="s">
        <v>49</v>
      </c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44"/>
      <c r="S60" s="44"/>
      <c r="T60" s="44"/>
      <c r="U60" s="40"/>
      <c r="V60" s="40"/>
    </row>
    <row r="61" spans="1:22">
      <c r="A61" s="38" t="s">
        <v>1</v>
      </c>
      <c r="B61" s="39" t="s">
        <v>46</v>
      </c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44"/>
      <c r="S61" s="44"/>
      <c r="T61" s="44"/>
      <c r="U61" s="40"/>
      <c r="V61" s="40"/>
    </row>
    <row r="62" spans="1:22">
      <c r="A62" s="38"/>
      <c r="B62" s="39" t="s">
        <v>45</v>
      </c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44"/>
      <c r="S62" s="44"/>
      <c r="T62" s="44"/>
      <c r="U62" s="40"/>
      <c r="V62" s="40"/>
    </row>
    <row r="63" spans="1:22">
      <c r="A63" s="38"/>
      <c r="B63" s="39" t="s">
        <v>47</v>
      </c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44"/>
      <c r="S63" s="44"/>
      <c r="T63" s="44"/>
      <c r="U63" s="40"/>
      <c r="V63" s="40"/>
    </row>
    <row r="64" spans="1:22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44"/>
      <c r="S64" s="44"/>
      <c r="T64" s="44"/>
      <c r="U64" s="40"/>
      <c r="V64" s="40"/>
    </row>
    <row r="65" spans="1:22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44"/>
      <c r="N65" s="44"/>
      <c r="O65" s="44"/>
      <c r="P65" s="40"/>
      <c r="Q65" s="40"/>
      <c r="U65" s="8"/>
      <c r="V65" s="8"/>
    </row>
    <row r="66" spans="1:22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44"/>
      <c r="N66" s="44"/>
      <c r="O66" s="44"/>
      <c r="P66" s="40"/>
      <c r="Q66" s="40"/>
      <c r="U66" s="8"/>
      <c r="V66" s="8"/>
    </row>
    <row r="67" spans="1:22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44"/>
      <c r="N67" s="44"/>
      <c r="O67" s="44"/>
      <c r="P67" s="40"/>
      <c r="Q67" s="40"/>
      <c r="U67" s="8"/>
      <c r="V67" s="8"/>
    </row>
    <row r="68" spans="1:22">
      <c r="P68" s="2"/>
      <c r="Q68" s="2"/>
      <c r="U68" s="8"/>
      <c r="V68" s="8"/>
    </row>
    <row r="69" spans="1:22">
      <c r="P69" s="2"/>
      <c r="Q69" s="2"/>
      <c r="U69" s="8"/>
      <c r="V69" s="8"/>
    </row>
    <row r="70" spans="1:22">
      <c r="P70" s="2"/>
      <c r="Q70" s="2"/>
      <c r="U70" s="8"/>
      <c r="V70" s="8"/>
    </row>
  </sheetData>
  <mergeCells count="4">
    <mergeCell ref="A5:B5"/>
    <mergeCell ref="A4:B4"/>
    <mergeCell ref="A1:T1"/>
    <mergeCell ref="A2:T2"/>
  </mergeCells>
  <hyperlinks>
    <hyperlink ref="V1" location="INDICE!Área_de_impresión" display="INDICE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/>
  <dimension ref="A1:V65"/>
  <sheetViews>
    <sheetView showGridLines="0" zoomScale="90" zoomScaleNormal="90" workbookViewId="0">
      <selection sqref="A1:T1"/>
    </sheetView>
  </sheetViews>
  <sheetFormatPr baseColWidth="10" defaultRowHeight="12.75"/>
  <cols>
    <col min="1" max="1" width="11.42578125" style="8"/>
    <col min="2" max="2" width="18.5703125" style="8" customWidth="1"/>
    <col min="3" max="20" width="13.7109375" style="8" customWidth="1"/>
    <col min="21" max="21" width="1.7109375" style="2" customWidth="1"/>
    <col min="22" max="22" width="13.7109375" style="2" customWidth="1"/>
    <col min="23" max="16384" width="11.42578125" style="8"/>
  </cols>
  <sheetData>
    <row r="1" spans="1:22" s="30" customFormat="1" ht="30" customHeight="1">
      <c r="A1" s="346" t="s">
        <v>54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8"/>
      <c r="V1" s="31" t="s">
        <v>134</v>
      </c>
    </row>
    <row r="2" spans="1:22" ht="30" customHeight="1">
      <c r="A2" s="328" t="s">
        <v>296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38"/>
      <c r="U2" s="19"/>
    </row>
    <row r="3" spans="1:22" ht="8.1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0"/>
    </row>
    <row r="4" spans="1:22" s="5" customFormat="1" ht="30" customHeight="1">
      <c r="A4" s="378" t="s">
        <v>224</v>
      </c>
      <c r="B4" s="379"/>
      <c r="C4" s="243" t="s">
        <v>0</v>
      </c>
      <c r="D4" s="245" t="s">
        <v>145</v>
      </c>
      <c r="E4" s="243" t="s">
        <v>37</v>
      </c>
      <c r="F4" s="245" t="s">
        <v>145</v>
      </c>
      <c r="G4" s="243" t="s">
        <v>42</v>
      </c>
      <c r="H4" s="245" t="s">
        <v>145</v>
      </c>
      <c r="I4" s="243" t="s">
        <v>38</v>
      </c>
      <c r="J4" s="245" t="s">
        <v>145</v>
      </c>
      <c r="K4" s="243" t="s">
        <v>40</v>
      </c>
      <c r="L4" s="245" t="s">
        <v>145</v>
      </c>
      <c r="M4" s="243" t="s">
        <v>41</v>
      </c>
      <c r="N4" s="245" t="s">
        <v>145</v>
      </c>
      <c r="O4" s="243" t="s">
        <v>39</v>
      </c>
      <c r="P4" s="245" t="s">
        <v>145</v>
      </c>
      <c r="Q4" s="243" t="s">
        <v>103</v>
      </c>
      <c r="R4" s="245" t="s">
        <v>145</v>
      </c>
      <c r="S4" s="243" t="s">
        <v>1</v>
      </c>
      <c r="T4" s="246" t="s">
        <v>145</v>
      </c>
    </row>
    <row r="5" spans="1:22" s="5" customFormat="1" ht="15" customHeight="1">
      <c r="A5" s="349" t="s">
        <v>0</v>
      </c>
      <c r="B5" s="350"/>
      <c r="C5" s="192">
        <v>9636506.3346653134</v>
      </c>
      <c r="D5" s="244">
        <v>1</v>
      </c>
      <c r="E5" s="192">
        <v>7397924.5063098865</v>
      </c>
      <c r="F5" s="244">
        <v>1</v>
      </c>
      <c r="G5" s="192">
        <v>799623.16102322214</v>
      </c>
      <c r="H5" s="244">
        <v>1</v>
      </c>
      <c r="I5" s="192">
        <v>210163.6379219135</v>
      </c>
      <c r="J5" s="244">
        <v>1</v>
      </c>
      <c r="K5" s="192">
        <v>23514.391756076464</v>
      </c>
      <c r="L5" s="244">
        <v>1</v>
      </c>
      <c r="M5" s="192">
        <v>17582.704490807526</v>
      </c>
      <c r="N5" s="244">
        <v>1</v>
      </c>
      <c r="O5" s="192">
        <v>986112.46732461057</v>
      </c>
      <c r="P5" s="244">
        <v>1</v>
      </c>
      <c r="Q5" s="192">
        <v>155081.05574991359</v>
      </c>
      <c r="R5" s="244">
        <v>1</v>
      </c>
      <c r="S5" s="192">
        <v>46504.410088879558</v>
      </c>
      <c r="T5" s="247">
        <v>1</v>
      </c>
    </row>
    <row r="6" spans="1:22" ht="15" customHeight="1">
      <c r="A6" s="160" t="s">
        <v>141</v>
      </c>
      <c r="B6" s="169"/>
      <c r="C6" s="170">
        <v>1037469.2701645668</v>
      </c>
      <c r="D6" s="94">
        <v>0.10766031112670869</v>
      </c>
      <c r="E6" s="170">
        <v>825347.41781168396</v>
      </c>
      <c r="F6" s="94">
        <v>0.11156472563456456</v>
      </c>
      <c r="G6" s="170">
        <v>59097.900747248597</v>
      </c>
      <c r="H6" s="94">
        <v>7.3907189821296723E-2</v>
      </c>
      <c r="I6" s="170">
        <v>25041.877980518198</v>
      </c>
      <c r="J6" s="94">
        <v>0.11915418969775605</v>
      </c>
      <c r="K6" s="170">
        <v>14123.409880715601</v>
      </c>
      <c r="L6" s="94">
        <v>0.6006283312459445</v>
      </c>
      <c r="M6" s="170">
        <v>3463.8833611712698</v>
      </c>
      <c r="N6" s="94">
        <v>0.19700515145336342</v>
      </c>
      <c r="O6" s="170">
        <v>87031.6599565613</v>
      </c>
      <c r="P6" s="94">
        <v>8.8257336602470954E-2</v>
      </c>
      <c r="Q6" s="170">
        <v>10481.4738553885</v>
      </c>
      <c r="R6" s="94">
        <v>6.7587067967161032E-2</v>
      </c>
      <c r="S6" s="170">
        <v>12881.6465712795</v>
      </c>
      <c r="T6" s="95">
        <v>0.27699838674783755</v>
      </c>
      <c r="U6" s="8"/>
      <c r="V6" s="8"/>
    </row>
    <row r="7" spans="1:22" ht="15" customHeight="1">
      <c r="A7" s="161" t="s">
        <v>104</v>
      </c>
      <c r="B7" s="172"/>
      <c r="C7" s="173">
        <v>3809356.163692629</v>
      </c>
      <c r="D7" s="96">
        <v>0.39530469149273195</v>
      </c>
      <c r="E7" s="173">
        <v>3027421.9580183802</v>
      </c>
      <c r="F7" s="96">
        <v>0.40922585185023336</v>
      </c>
      <c r="G7" s="173">
        <v>201895.42333223499</v>
      </c>
      <c r="H7" s="96">
        <v>0.2524882134152836</v>
      </c>
      <c r="I7" s="173">
        <v>76930.356805510004</v>
      </c>
      <c r="J7" s="96">
        <v>0.36604979608362864</v>
      </c>
      <c r="K7" s="173">
        <v>18560.6980752196</v>
      </c>
      <c r="L7" s="96">
        <v>0.78933353955129382</v>
      </c>
      <c r="M7" s="173">
        <v>12522.8033779256</v>
      </c>
      <c r="N7" s="96">
        <v>0.71222282012830795</v>
      </c>
      <c r="O7" s="173">
        <v>416165.17786409101</v>
      </c>
      <c r="P7" s="96">
        <v>0.42202607882362053</v>
      </c>
      <c r="Q7" s="173">
        <v>28810.7988237024</v>
      </c>
      <c r="R7" s="96">
        <v>0.185778970128777</v>
      </c>
      <c r="S7" s="173">
        <v>27048.947395565599</v>
      </c>
      <c r="T7" s="125">
        <v>0.58164263010474615</v>
      </c>
      <c r="U7" s="8"/>
      <c r="V7" s="8"/>
    </row>
    <row r="8" spans="1:22" ht="15" customHeight="1">
      <c r="A8" s="162" t="s">
        <v>2</v>
      </c>
      <c r="B8" s="169"/>
      <c r="C8" s="176">
        <v>4266786.1778759668</v>
      </c>
      <c r="D8" s="97">
        <v>0.44277314098026349</v>
      </c>
      <c r="E8" s="176">
        <v>3321686.2386077899</v>
      </c>
      <c r="F8" s="97">
        <v>0.44900245140034012</v>
      </c>
      <c r="G8" s="176">
        <v>310935.24779939</v>
      </c>
      <c r="H8" s="97">
        <v>0.38885222809392839</v>
      </c>
      <c r="I8" s="176">
        <v>91790.920379550895</v>
      </c>
      <c r="J8" s="97">
        <v>0.43675928570315242</v>
      </c>
      <c r="K8" s="176">
        <v>5971.59172826346</v>
      </c>
      <c r="L8" s="97">
        <v>0.25395476056574218</v>
      </c>
      <c r="M8" s="176">
        <v>10906.3574548624</v>
      </c>
      <c r="N8" s="97">
        <v>0.62028895842299969</v>
      </c>
      <c r="O8" s="176">
        <v>446329.11324331502</v>
      </c>
      <c r="P8" s="97">
        <v>0.45261481629396283</v>
      </c>
      <c r="Q8" s="176">
        <v>60136.557312672201</v>
      </c>
      <c r="R8" s="97">
        <v>0.38777500592754194</v>
      </c>
      <c r="S8" s="176">
        <v>19030.151350123</v>
      </c>
      <c r="T8" s="126">
        <v>0.40921175677215216</v>
      </c>
      <c r="U8" s="8"/>
      <c r="V8" s="8"/>
    </row>
    <row r="9" spans="1:22" ht="15" customHeight="1">
      <c r="A9" s="161"/>
      <c r="B9" s="179" t="s">
        <v>93</v>
      </c>
      <c r="C9" s="180">
        <v>285398.68304058071</v>
      </c>
      <c r="D9" s="202">
        <v>2.9616405897427651E-2</v>
      </c>
      <c r="E9" s="180">
        <v>229838.57684447899</v>
      </c>
      <c r="F9" s="202">
        <v>3.1067980843606006E-2</v>
      </c>
      <c r="G9" s="180">
        <v>18173.928881457599</v>
      </c>
      <c r="H9" s="202">
        <v>2.2728117152336715E-2</v>
      </c>
      <c r="I9" s="180">
        <v>3365.7027234757902</v>
      </c>
      <c r="J9" s="202">
        <v>1.601467673835338E-2</v>
      </c>
      <c r="K9" s="180">
        <v>418.04939250090302</v>
      </c>
      <c r="L9" s="202">
        <v>1.7778448060127811E-2</v>
      </c>
      <c r="M9" s="180">
        <v>893.79497565883196</v>
      </c>
      <c r="N9" s="202">
        <v>5.0833759739641875E-2</v>
      </c>
      <c r="O9" s="180">
        <v>29114.307389821701</v>
      </c>
      <c r="P9" s="202">
        <v>2.9524327452030673E-2</v>
      </c>
      <c r="Q9" s="180">
        <v>1382.89207580727</v>
      </c>
      <c r="R9" s="202">
        <v>8.9172211855285902E-3</v>
      </c>
      <c r="S9" s="180">
        <v>2211.43075737966</v>
      </c>
      <c r="T9" s="231">
        <v>4.7553140726936602E-2</v>
      </c>
      <c r="U9" s="8"/>
      <c r="V9" s="8"/>
    </row>
    <row r="10" spans="1:22" ht="15" customHeight="1">
      <c r="A10" s="162"/>
      <c r="B10" s="183" t="s">
        <v>94</v>
      </c>
      <c r="C10" s="184">
        <v>489640.7433059063</v>
      </c>
      <c r="D10" s="203">
        <v>5.0811022823128986E-2</v>
      </c>
      <c r="E10" s="184">
        <v>393942.31344474899</v>
      </c>
      <c r="F10" s="203">
        <v>5.325038301063293E-2</v>
      </c>
      <c r="G10" s="184">
        <v>26052.4570242878</v>
      </c>
      <c r="H10" s="203">
        <v>3.258091848033802E-2</v>
      </c>
      <c r="I10" s="184">
        <v>8307.7533147873801</v>
      </c>
      <c r="J10" s="203">
        <v>3.9529927236385841E-2</v>
      </c>
      <c r="K10" s="184">
        <v>342.07372897817299</v>
      </c>
      <c r="L10" s="203">
        <v>1.4547419832357609E-2</v>
      </c>
      <c r="M10" s="184">
        <v>1384.0840802546099</v>
      </c>
      <c r="N10" s="203">
        <v>7.8718497542754451E-2</v>
      </c>
      <c r="O10" s="184">
        <v>54206.011799886503</v>
      </c>
      <c r="P10" s="203">
        <v>5.4969401154567145E-2</v>
      </c>
      <c r="Q10" s="184">
        <v>2722.6956295349801</v>
      </c>
      <c r="R10" s="203">
        <v>1.7556597202469697E-2</v>
      </c>
      <c r="S10" s="184">
        <v>2683.3542834278901</v>
      </c>
      <c r="T10" s="232">
        <v>5.77010713241915E-2</v>
      </c>
      <c r="U10" s="8"/>
      <c r="V10" s="8"/>
    </row>
    <row r="11" spans="1:22" ht="15" customHeight="1">
      <c r="A11" s="161"/>
      <c r="B11" s="179" t="s">
        <v>95</v>
      </c>
      <c r="C11" s="180">
        <v>303441.0433637813</v>
      </c>
      <c r="D11" s="202">
        <v>3.1488698582827233E-2</v>
      </c>
      <c r="E11" s="180">
        <v>236240.713492971</v>
      </c>
      <c r="F11" s="202">
        <v>3.1933377164294528E-2</v>
      </c>
      <c r="G11" s="180">
        <v>17192.270807160199</v>
      </c>
      <c r="H11" s="202">
        <v>2.1500466276089911E-2</v>
      </c>
      <c r="I11" s="180">
        <v>6812.5812016565496</v>
      </c>
      <c r="J11" s="202">
        <v>3.2415603712511724E-2</v>
      </c>
      <c r="K11" s="180">
        <v>177.05450711242199</v>
      </c>
      <c r="L11" s="202">
        <v>7.529623089938888E-3</v>
      </c>
      <c r="M11" s="180">
        <v>696.579686626171</v>
      </c>
      <c r="N11" s="202">
        <v>3.9617323204763646E-2</v>
      </c>
      <c r="O11" s="180">
        <v>38347.986507587899</v>
      </c>
      <c r="P11" s="202">
        <v>3.8888045510294143E-2</v>
      </c>
      <c r="Q11" s="180">
        <v>3046.0789963739699</v>
      </c>
      <c r="R11" s="202">
        <v>1.9641851041342726E-2</v>
      </c>
      <c r="S11" s="180">
        <v>927.77816429303903</v>
      </c>
      <c r="T11" s="231">
        <v>1.9950326485592716E-2</v>
      </c>
      <c r="U11" s="8"/>
      <c r="V11" s="8"/>
    </row>
    <row r="12" spans="1:22" ht="15" customHeight="1">
      <c r="A12" s="162"/>
      <c r="B12" s="183" t="s">
        <v>96</v>
      </c>
      <c r="C12" s="184">
        <v>379023.51225394936</v>
      </c>
      <c r="D12" s="203">
        <v>3.9332046188823813E-2</v>
      </c>
      <c r="E12" s="184">
        <v>299791.18967878801</v>
      </c>
      <c r="F12" s="203">
        <v>4.0523688694455877E-2</v>
      </c>
      <c r="G12" s="184">
        <v>17509.524540782801</v>
      </c>
      <c r="H12" s="203">
        <v>2.1897220333609496E-2</v>
      </c>
      <c r="I12" s="184">
        <v>8112.8660255611703</v>
      </c>
      <c r="J12" s="203">
        <v>3.8602615113540781E-2</v>
      </c>
      <c r="K12" s="184">
        <v>594.64828034858294</v>
      </c>
      <c r="L12" s="203">
        <v>2.5288694962518735E-2</v>
      </c>
      <c r="M12" s="184">
        <v>1405.8057942243499</v>
      </c>
      <c r="N12" s="203">
        <v>7.9953899865593717E-2</v>
      </c>
      <c r="O12" s="184">
        <v>47290.029194277799</v>
      </c>
      <c r="P12" s="203">
        <v>4.7956019988854647E-2</v>
      </c>
      <c r="Q12" s="184">
        <v>2675.2983690882402</v>
      </c>
      <c r="R12" s="203">
        <v>1.7250968251096208E-2</v>
      </c>
      <c r="S12" s="184">
        <v>1644.15037087839</v>
      </c>
      <c r="T12" s="232">
        <v>3.5354719428460184E-2</v>
      </c>
      <c r="U12" s="8"/>
      <c r="V12" s="8"/>
    </row>
    <row r="13" spans="1:22" ht="15" customHeight="1">
      <c r="A13" s="161"/>
      <c r="B13" s="179" t="s">
        <v>97</v>
      </c>
      <c r="C13" s="180">
        <v>189328.53411827495</v>
      </c>
      <c r="D13" s="202">
        <v>1.9647009771290785E-2</v>
      </c>
      <c r="E13" s="180">
        <v>149641.42454996699</v>
      </c>
      <c r="F13" s="202">
        <v>2.0227487374645935E-2</v>
      </c>
      <c r="G13" s="180">
        <v>8001.75977969209</v>
      </c>
      <c r="H13" s="202">
        <v>1.0006913468405286E-2</v>
      </c>
      <c r="I13" s="180">
        <v>3261.2157383469398</v>
      </c>
      <c r="J13" s="202">
        <v>1.5517507074932952E-2</v>
      </c>
      <c r="K13" s="180">
        <v>332.00227237133703</v>
      </c>
      <c r="L13" s="202">
        <v>1.4119109514518604E-2</v>
      </c>
      <c r="M13" s="180">
        <v>615.42234379482102</v>
      </c>
      <c r="N13" s="202">
        <v>3.5001574650621703E-2</v>
      </c>
      <c r="O13" s="180">
        <v>25434.7021788153</v>
      </c>
      <c r="P13" s="202">
        <v>2.5792901947402976E-2</v>
      </c>
      <c r="Q13" s="180">
        <v>1119.25844743843</v>
      </c>
      <c r="R13" s="202">
        <v>7.2172480515180762E-3</v>
      </c>
      <c r="S13" s="180">
        <v>922.74880784904803</v>
      </c>
      <c r="T13" s="231">
        <v>1.9842178539314529E-2</v>
      </c>
      <c r="U13" s="8"/>
      <c r="V13" s="8"/>
    </row>
    <row r="14" spans="1:22" ht="15" customHeight="1">
      <c r="A14" s="162"/>
      <c r="B14" s="183" t="s">
        <v>98</v>
      </c>
      <c r="C14" s="184">
        <v>148222.21835808965</v>
      </c>
      <c r="D14" s="203">
        <v>1.5381323190220014E-2</v>
      </c>
      <c r="E14" s="184">
        <v>114005.37636776701</v>
      </c>
      <c r="F14" s="203">
        <v>1.5410454144338562E-2</v>
      </c>
      <c r="G14" s="184">
        <v>9343.5391765180993</v>
      </c>
      <c r="H14" s="203">
        <v>1.1684928141103144E-2</v>
      </c>
      <c r="I14" s="184">
        <v>2895.8112866473798</v>
      </c>
      <c r="J14" s="203">
        <v>1.3778840694237132E-2</v>
      </c>
      <c r="K14" s="184">
        <v>77.723923030844404</v>
      </c>
      <c r="L14" s="203">
        <v>3.3053767172505919E-3</v>
      </c>
      <c r="M14" s="184">
        <v>463.45858562317801</v>
      </c>
      <c r="N14" s="203">
        <v>2.6358776937045175E-2</v>
      </c>
      <c r="O14" s="184">
        <v>19907.4458771514</v>
      </c>
      <c r="P14" s="203">
        <v>2.0187804674208856E-2</v>
      </c>
      <c r="Q14" s="184">
        <v>969.47926280448803</v>
      </c>
      <c r="R14" s="203">
        <v>6.2514357934723317E-3</v>
      </c>
      <c r="S14" s="184">
        <v>559.38387854725102</v>
      </c>
      <c r="T14" s="232">
        <v>1.2028620027179198E-2</v>
      </c>
      <c r="U14" s="8"/>
      <c r="V14" s="8"/>
    </row>
    <row r="15" spans="1:22" ht="15" customHeight="1">
      <c r="A15" s="161"/>
      <c r="B15" s="179" t="s">
        <v>99</v>
      </c>
      <c r="C15" s="180">
        <v>459023.3875122444</v>
      </c>
      <c r="D15" s="202">
        <v>4.7633797101445767E-2</v>
      </c>
      <c r="E15" s="180">
        <v>360029.26834688999</v>
      </c>
      <c r="F15" s="202">
        <v>4.8666253357926466E-2</v>
      </c>
      <c r="G15" s="180">
        <v>20913.949863473499</v>
      </c>
      <c r="H15" s="202">
        <v>2.6154757494406957E-2</v>
      </c>
      <c r="I15" s="180">
        <v>9203.3201492964799</v>
      </c>
      <c r="J15" s="202">
        <v>4.3791210697998968E-2</v>
      </c>
      <c r="K15" s="180">
        <v>879.73095157260695</v>
      </c>
      <c r="L15" s="202">
        <v>3.7412447691540715E-2</v>
      </c>
      <c r="M15" s="180">
        <v>1657.5963902439801</v>
      </c>
      <c r="N15" s="202">
        <v>9.4274256335855136E-2</v>
      </c>
      <c r="O15" s="180">
        <v>60384.5153240168</v>
      </c>
      <c r="P15" s="202">
        <v>6.1234917238034779E-2</v>
      </c>
      <c r="Q15" s="180">
        <v>3331.3453182741</v>
      </c>
      <c r="R15" s="202">
        <v>2.1481316993651921E-2</v>
      </c>
      <c r="S15" s="180">
        <v>2623.661168477</v>
      </c>
      <c r="T15" s="231">
        <v>5.6417470159553472E-2</v>
      </c>
      <c r="U15" s="8"/>
      <c r="V15" s="8"/>
    </row>
    <row r="16" spans="1:22" ht="15" customHeight="1">
      <c r="A16" s="162"/>
      <c r="B16" s="183" t="s">
        <v>100</v>
      </c>
      <c r="C16" s="184">
        <v>517808.77157522831</v>
      </c>
      <c r="D16" s="203">
        <v>5.3734076810858275E-2</v>
      </c>
      <c r="E16" s="184">
        <v>418585.67748107901</v>
      </c>
      <c r="F16" s="203">
        <v>5.6581501625767625E-2</v>
      </c>
      <c r="G16" s="184">
        <v>25610.092511613799</v>
      </c>
      <c r="H16" s="203">
        <v>3.2027702247696709E-2</v>
      </c>
      <c r="I16" s="184">
        <v>9929.2283852201199</v>
      </c>
      <c r="J16" s="203">
        <v>4.7245225117911856E-2</v>
      </c>
      <c r="K16" s="184">
        <v>1616.00513858913</v>
      </c>
      <c r="L16" s="203">
        <v>6.8724088437096417E-2</v>
      </c>
      <c r="M16" s="184">
        <v>1942.17816032835</v>
      </c>
      <c r="N16" s="203">
        <v>0.11045958039866659</v>
      </c>
      <c r="O16" s="184">
        <v>54448.519635971701</v>
      </c>
      <c r="P16" s="203">
        <v>5.5215324255755732E-2</v>
      </c>
      <c r="Q16" s="184">
        <v>3082.2768689924101</v>
      </c>
      <c r="R16" s="203">
        <v>1.9875263642536348E-2</v>
      </c>
      <c r="S16" s="184">
        <v>2594.7933934337698</v>
      </c>
      <c r="T16" s="232">
        <v>5.5796716665679279E-2</v>
      </c>
      <c r="U16" s="8"/>
      <c r="V16" s="8"/>
    </row>
    <row r="17" spans="1:22" ht="15" customHeight="1">
      <c r="A17" s="161"/>
      <c r="B17" s="179" t="s">
        <v>101</v>
      </c>
      <c r="C17" s="180">
        <v>114256.62357535399</v>
      </c>
      <c r="D17" s="202">
        <v>1.1856643850722094E-2</v>
      </c>
      <c r="E17" s="180">
        <v>94913.126765199093</v>
      </c>
      <c r="F17" s="202">
        <v>1.2829696583716847E-2</v>
      </c>
      <c r="G17" s="180">
        <v>8950.1343931680203</v>
      </c>
      <c r="H17" s="202">
        <v>1.1192940411724887E-2</v>
      </c>
      <c r="I17" s="180">
        <v>1795.8823975526</v>
      </c>
      <c r="J17" s="202">
        <v>8.545162309285214E-3</v>
      </c>
      <c r="K17" s="180">
        <v>273.94042311600498</v>
      </c>
      <c r="L17" s="202">
        <v>1.1649904703370214E-2</v>
      </c>
      <c r="M17" s="180">
        <v>61.524720825485502</v>
      </c>
      <c r="N17" s="202">
        <v>3.4991613979323518E-3</v>
      </c>
      <c r="O17" s="180">
        <v>6140.3847528102597</v>
      </c>
      <c r="P17" s="202">
        <v>6.2268604812081288E-3</v>
      </c>
      <c r="Q17" s="180">
        <v>1759.8006290373901</v>
      </c>
      <c r="R17" s="202">
        <v>1.1347618318224988E-2</v>
      </c>
      <c r="S17" s="180">
        <v>361.82949364513701</v>
      </c>
      <c r="T17" s="231">
        <v>7.7805415218385934E-3</v>
      </c>
      <c r="U17" s="8"/>
      <c r="V17" s="8"/>
    </row>
    <row r="18" spans="1:22" ht="15" customHeight="1">
      <c r="A18" s="162"/>
      <c r="B18" s="183" t="s">
        <v>102</v>
      </c>
      <c r="C18" s="184">
        <v>202546.76255764498</v>
      </c>
      <c r="D18" s="203">
        <v>2.1018692410238494E-2</v>
      </c>
      <c r="E18" s="184">
        <v>161828.34341905901</v>
      </c>
      <c r="F18" s="203">
        <v>2.1874830336675012E-2</v>
      </c>
      <c r="G18" s="184">
        <v>15719.0409899606</v>
      </c>
      <c r="H18" s="203">
        <v>1.9658061142008489E-2</v>
      </c>
      <c r="I18" s="184">
        <v>2906.3922897417301</v>
      </c>
      <c r="J18" s="203">
        <v>1.3829187191847159E-2</v>
      </c>
      <c r="K18" s="184">
        <v>770.44903548576804</v>
      </c>
      <c r="L18" s="203">
        <v>3.2764999557629328E-2</v>
      </c>
      <c r="M18" s="184">
        <v>417.35211801385202</v>
      </c>
      <c r="N18" s="203">
        <v>2.3736514381621401E-2</v>
      </c>
      <c r="O18" s="184">
        <v>18459.925916375902</v>
      </c>
      <c r="P18" s="203">
        <v>1.8719899127184674E-2</v>
      </c>
      <c r="Q18" s="184">
        <v>2023.9827175520099</v>
      </c>
      <c r="R18" s="203">
        <v>1.3051128055356546E-2</v>
      </c>
      <c r="S18" s="184">
        <v>421.27607145609898</v>
      </c>
      <c r="T18" s="232">
        <v>9.0588413152850062E-3</v>
      </c>
      <c r="U18" s="8"/>
      <c r="V18" s="8"/>
    </row>
    <row r="19" spans="1:22" ht="15" customHeight="1">
      <c r="A19" s="161"/>
      <c r="B19" s="179" t="s">
        <v>65</v>
      </c>
      <c r="C19" s="180">
        <v>1178095.8982148995</v>
      </c>
      <c r="D19" s="202">
        <v>0.12225342435327897</v>
      </c>
      <c r="E19" s="180">
        <v>862870.22821682901</v>
      </c>
      <c r="F19" s="202">
        <v>0.11663679826427858</v>
      </c>
      <c r="G19" s="180">
        <v>143468.54983127501</v>
      </c>
      <c r="H19" s="202">
        <v>0.17942020294620817</v>
      </c>
      <c r="I19" s="180">
        <v>35200.166867264801</v>
      </c>
      <c r="J19" s="202">
        <v>0.16748932981614764</v>
      </c>
      <c r="K19" s="180">
        <v>489.91407515767798</v>
      </c>
      <c r="L19" s="202">
        <v>2.0834647999392841E-2</v>
      </c>
      <c r="M19" s="180">
        <v>1368.5605992688099</v>
      </c>
      <c r="N19" s="202">
        <v>7.7835613968505912E-2</v>
      </c>
      <c r="O19" s="180">
        <v>92595.284666599502</v>
      </c>
      <c r="P19" s="202">
        <v>9.3899314464420819E-2</v>
      </c>
      <c r="Q19" s="180">
        <v>38023.448997768901</v>
      </c>
      <c r="R19" s="202">
        <v>0.2451843573923444</v>
      </c>
      <c r="S19" s="180">
        <v>4079.7449607357098</v>
      </c>
      <c r="T19" s="231">
        <v>8.7728130578120914E-2</v>
      </c>
      <c r="U19" s="8"/>
      <c r="V19" s="8"/>
    </row>
    <row r="20" spans="1:22" ht="15" customHeight="1">
      <c r="A20" s="162" t="s">
        <v>3</v>
      </c>
      <c r="B20" s="169"/>
      <c r="C20" s="176">
        <v>40702.061856575929</v>
      </c>
      <c r="D20" s="97">
        <v>4.2237363254936889E-3</v>
      </c>
      <c r="E20" s="176">
        <v>28555.0151654888</v>
      </c>
      <c r="F20" s="97">
        <v>3.8598684186535652E-3</v>
      </c>
      <c r="G20" s="176">
        <v>4007.6339658851198</v>
      </c>
      <c r="H20" s="97">
        <v>5.01190330799927E-3</v>
      </c>
      <c r="I20" s="176">
        <v>957.670455045616</v>
      </c>
      <c r="J20" s="97">
        <v>4.5567847250600002E-3</v>
      </c>
      <c r="K20" s="176">
        <v>13.099667429670699</v>
      </c>
      <c r="L20" s="97">
        <v>5.5709148531496899E-4</v>
      </c>
      <c r="M20" s="176">
        <v>9.9883005294380993</v>
      </c>
      <c r="N20" s="97">
        <v>5.6807532280714367E-4</v>
      </c>
      <c r="O20" s="176">
        <v>6490.4922547483102</v>
      </c>
      <c r="P20" s="97">
        <v>6.5818985864335051E-3</v>
      </c>
      <c r="Q20" s="176">
        <v>543.20332674798703</v>
      </c>
      <c r="R20" s="97">
        <v>3.5027058857786354E-3</v>
      </c>
      <c r="S20" s="176">
        <v>124.95872070099</v>
      </c>
      <c r="T20" s="126">
        <v>2.6870294766059392E-3</v>
      </c>
      <c r="U20" s="8"/>
      <c r="V20" s="8"/>
    </row>
    <row r="21" spans="1:22" ht="15" customHeight="1">
      <c r="A21" s="161" t="s">
        <v>16</v>
      </c>
      <c r="B21" s="172"/>
      <c r="C21" s="173">
        <v>118884.37634663268</v>
      </c>
      <c r="D21" s="96">
        <v>1.2336875234437508E-2</v>
      </c>
      <c r="E21" s="173">
        <v>78690.318688632105</v>
      </c>
      <c r="F21" s="96">
        <v>1.0636810178518995E-2</v>
      </c>
      <c r="G21" s="173">
        <v>11097.272771826199</v>
      </c>
      <c r="H21" s="96">
        <v>1.387812823933938E-2</v>
      </c>
      <c r="I21" s="173">
        <v>2456.62785964348</v>
      </c>
      <c r="J21" s="96">
        <v>1.1689119411590327E-2</v>
      </c>
      <c r="K21" s="173">
        <v>19.193437497904199</v>
      </c>
      <c r="L21" s="96">
        <v>8.1624214213171526E-4</v>
      </c>
      <c r="M21" s="173">
        <v>5.6164677278809201</v>
      </c>
      <c r="N21" s="96">
        <v>3.1943138956906685E-4</v>
      </c>
      <c r="O21" s="173">
        <v>24683.070277734601</v>
      </c>
      <c r="P21" s="96">
        <v>2.5030684729807171E-2</v>
      </c>
      <c r="Q21" s="173">
        <v>1704.9168321146999</v>
      </c>
      <c r="R21" s="96">
        <v>1.0993714376461806E-2</v>
      </c>
      <c r="S21" s="173">
        <v>227.360011455787</v>
      </c>
      <c r="T21" s="125">
        <v>4.8889989362569039E-3</v>
      </c>
      <c r="U21" s="8"/>
      <c r="V21" s="8"/>
    </row>
    <row r="22" spans="1:22" ht="15" customHeight="1">
      <c r="A22" s="162" t="s">
        <v>17</v>
      </c>
      <c r="B22" s="169"/>
      <c r="C22" s="176">
        <v>151837.80221235155</v>
      </c>
      <c r="D22" s="97">
        <v>1.575651973227547E-2</v>
      </c>
      <c r="E22" s="176">
        <v>119333.816212427</v>
      </c>
      <c r="F22" s="97">
        <v>1.6130715596062654E-2</v>
      </c>
      <c r="G22" s="176">
        <v>23041.859209275201</v>
      </c>
      <c r="H22" s="97">
        <v>2.8815897703350832E-2</v>
      </c>
      <c r="I22" s="176">
        <v>2465.6754171651701</v>
      </c>
      <c r="J22" s="97">
        <v>1.1732169473014614E-2</v>
      </c>
      <c r="K22" s="176">
        <v>182.635400168698</v>
      </c>
      <c r="L22" s="97">
        <v>7.7669625505623523E-3</v>
      </c>
      <c r="M22" s="176">
        <v>102.572551172034</v>
      </c>
      <c r="N22" s="97">
        <v>5.8337186537861857E-3</v>
      </c>
      <c r="O22" s="176">
        <v>4728.73632076787</v>
      </c>
      <c r="P22" s="97">
        <v>4.7953316456866724E-3</v>
      </c>
      <c r="Q22" s="176">
        <v>1132.0777002812599</v>
      </c>
      <c r="R22" s="97">
        <v>7.299909681469206E-3</v>
      </c>
      <c r="S22" s="176">
        <v>850.42940109435403</v>
      </c>
      <c r="T22" s="126">
        <v>1.8287069967536571E-2</v>
      </c>
      <c r="U22" s="8"/>
      <c r="V22" s="8"/>
    </row>
    <row r="23" spans="1:22" ht="15" customHeight="1">
      <c r="A23" s="161" t="s">
        <v>4</v>
      </c>
      <c r="B23" s="172"/>
      <c r="C23" s="173">
        <v>954048.4764177053</v>
      </c>
      <c r="D23" s="96">
        <v>9.9003564495746321E-2</v>
      </c>
      <c r="E23" s="173">
        <v>739725.42102869099</v>
      </c>
      <c r="F23" s="96">
        <v>9.9990939404390994E-2</v>
      </c>
      <c r="G23" s="173">
        <v>93804.875271506899</v>
      </c>
      <c r="H23" s="96">
        <v>0.1173113534523829</v>
      </c>
      <c r="I23" s="173">
        <v>19887.367045634801</v>
      </c>
      <c r="J23" s="96">
        <v>9.4628011021697156E-2</v>
      </c>
      <c r="K23" s="173">
        <v>955.40221837647698</v>
      </c>
      <c r="L23" s="96">
        <v>4.0630530795234668E-2</v>
      </c>
      <c r="M23" s="173">
        <v>858.05019033630401</v>
      </c>
      <c r="N23" s="96">
        <v>4.8800808247952084E-2</v>
      </c>
      <c r="O23" s="173">
        <v>74978.203442114798</v>
      </c>
      <c r="P23" s="96">
        <v>7.6034129905623957E-2</v>
      </c>
      <c r="Q23" s="173">
        <v>21676.631013672599</v>
      </c>
      <c r="R23" s="96">
        <v>0.13977613776777939</v>
      </c>
      <c r="S23" s="173">
        <v>2162.5262073724398</v>
      </c>
      <c r="T23" s="125">
        <v>4.6501529709535167E-2</v>
      </c>
      <c r="U23" s="8"/>
      <c r="V23" s="8"/>
    </row>
    <row r="24" spans="1:22" ht="15" customHeight="1">
      <c r="A24" s="162"/>
      <c r="B24" s="183" t="s">
        <v>51</v>
      </c>
      <c r="C24" s="184">
        <v>316043.39067963994</v>
      </c>
      <c r="D24" s="203">
        <v>3.2796469976130255E-2</v>
      </c>
      <c r="E24" s="184">
        <v>250257.83524587701</v>
      </c>
      <c r="F24" s="203">
        <v>3.3828114227500622E-2</v>
      </c>
      <c r="G24" s="184">
        <v>16571.682313369602</v>
      </c>
      <c r="H24" s="203">
        <v>2.0724365077374664E-2</v>
      </c>
      <c r="I24" s="184">
        <v>4508.0895042559396</v>
      </c>
      <c r="J24" s="203">
        <v>2.1450378137872379E-2</v>
      </c>
      <c r="K24" s="184">
        <v>544.39657338102995</v>
      </c>
      <c r="L24" s="203">
        <v>2.3151633222252065E-2</v>
      </c>
      <c r="M24" s="184">
        <v>405.749063354344</v>
      </c>
      <c r="N24" s="203">
        <v>2.3076601416265347E-2</v>
      </c>
      <c r="O24" s="184">
        <v>41191.785262560799</v>
      </c>
      <c r="P24" s="203">
        <v>4.1771893802658111E-2</v>
      </c>
      <c r="Q24" s="184">
        <v>1913.3861021796799</v>
      </c>
      <c r="R24" s="203">
        <v>1.2337974441347882E-2</v>
      </c>
      <c r="S24" s="184">
        <v>650.46661466151602</v>
      </c>
      <c r="T24" s="232">
        <v>1.3987202792559664E-2</v>
      </c>
      <c r="U24" s="8"/>
      <c r="V24" s="8"/>
    </row>
    <row r="25" spans="1:22" ht="15" customHeight="1">
      <c r="A25" s="161" t="s">
        <v>5</v>
      </c>
      <c r="B25" s="172"/>
      <c r="C25" s="173">
        <v>102985.36743768564</v>
      </c>
      <c r="D25" s="96">
        <v>1.0687002515342863E-2</v>
      </c>
      <c r="E25" s="173">
        <v>75888.361635086694</v>
      </c>
      <c r="F25" s="96">
        <v>1.0258061104889553E-2</v>
      </c>
      <c r="G25" s="173">
        <v>11036.8703846975</v>
      </c>
      <c r="H25" s="96">
        <v>1.3802589673083487E-2</v>
      </c>
      <c r="I25" s="173">
        <v>2523.1046967940001</v>
      </c>
      <c r="J25" s="96">
        <v>1.2005429301387817E-2</v>
      </c>
      <c r="K25" s="173">
        <v>5.3842963942146502</v>
      </c>
      <c r="L25" s="96">
        <v>2.2897876543301484E-4</v>
      </c>
      <c r="M25" s="173">
        <v>36.331917132863097</v>
      </c>
      <c r="N25" s="96">
        <v>2.0663440685053831E-3</v>
      </c>
      <c r="O25" s="173">
        <v>11307.5156490396</v>
      </c>
      <c r="P25" s="96">
        <v>1.1466760662419825E-2</v>
      </c>
      <c r="Q25" s="173">
        <v>1834.58429209667</v>
      </c>
      <c r="R25" s="96">
        <v>1.1829841389880351E-2</v>
      </c>
      <c r="S25" s="173">
        <v>353.21456644409199</v>
      </c>
      <c r="T25" s="125">
        <v>7.5952918393981514E-3</v>
      </c>
      <c r="U25" s="8"/>
      <c r="V25" s="8"/>
    </row>
    <row r="26" spans="1:22" ht="15" customHeight="1">
      <c r="A26" s="162" t="s">
        <v>6</v>
      </c>
      <c r="B26" s="169"/>
      <c r="C26" s="176">
        <v>267756.72978528135</v>
      </c>
      <c r="D26" s="97">
        <v>2.7785664273584566E-2</v>
      </c>
      <c r="E26" s="176">
        <v>208476.800980653</v>
      </c>
      <c r="F26" s="97">
        <v>2.8180444502081306E-2</v>
      </c>
      <c r="G26" s="176">
        <v>26412.673139734001</v>
      </c>
      <c r="H26" s="97">
        <v>3.3031400823777465E-2</v>
      </c>
      <c r="I26" s="176">
        <v>6647.2481323690299</v>
      </c>
      <c r="J26" s="97">
        <v>3.1628916391515938E-2</v>
      </c>
      <c r="K26" s="176">
        <v>166.53947070610101</v>
      </c>
      <c r="L26" s="97">
        <v>7.0824485886633566E-3</v>
      </c>
      <c r="M26" s="176">
        <v>188.276773769823</v>
      </c>
      <c r="N26" s="97">
        <v>1.0708066774838685E-2</v>
      </c>
      <c r="O26" s="176">
        <v>18576.2941072172</v>
      </c>
      <c r="P26" s="97">
        <v>1.8837906144332537E-2</v>
      </c>
      <c r="Q26" s="176">
        <v>6897.9267941651697</v>
      </c>
      <c r="R26" s="97">
        <v>4.447949339014616E-2</v>
      </c>
      <c r="S26" s="176">
        <v>390.97038666707903</v>
      </c>
      <c r="T26" s="126">
        <v>8.4071679636372899E-3</v>
      </c>
      <c r="U26" s="8"/>
      <c r="V26" s="8"/>
    </row>
    <row r="27" spans="1:22" ht="15" customHeight="1">
      <c r="A27" s="161" t="s">
        <v>18</v>
      </c>
      <c r="B27" s="172"/>
      <c r="C27" s="173">
        <v>39573.797648419662</v>
      </c>
      <c r="D27" s="96">
        <v>4.1066540376838868E-3</v>
      </c>
      <c r="E27" s="173">
        <v>28463.1870805166</v>
      </c>
      <c r="F27" s="96">
        <v>3.8474557365703842E-3</v>
      </c>
      <c r="G27" s="173">
        <v>3914.70050785596</v>
      </c>
      <c r="H27" s="96">
        <v>4.8956817394416015E-3</v>
      </c>
      <c r="I27" s="173">
        <v>483.92905989880597</v>
      </c>
      <c r="J27" s="96">
        <v>2.3026298206667429E-3</v>
      </c>
      <c r="K27" s="173">
        <v>5.7010123400649398E-2</v>
      </c>
      <c r="L27" s="96">
        <v>2.4244779108911947E-6</v>
      </c>
      <c r="M27" s="173">
        <v>0.48158934803561299</v>
      </c>
      <c r="N27" s="96">
        <v>2.7389947222703673E-5</v>
      </c>
      <c r="O27" s="173">
        <v>6262.1670984905904</v>
      </c>
      <c r="P27" s="96">
        <v>6.3503579013459502E-3</v>
      </c>
      <c r="Q27" s="173">
        <v>407.35254228087803</v>
      </c>
      <c r="R27" s="96">
        <v>2.6267073067762826E-3</v>
      </c>
      <c r="S27" s="173">
        <v>41.9227599053985</v>
      </c>
      <c r="T27" s="125">
        <v>9.0147923229808578E-4</v>
      </c>
      <c r="U27" s="8"/>
      <c r="V27" s="8"/>
    </row>
    <row r="28" spans="1:22" ht="15" customHeight="1">
      <c r="A28" s="162" t="s">
        <v>7</v>
      </c>
      <c r="B28" s="169"/>
      <c r="C28" s="176">
        <v>48546.378855927505</v>
      </c>
      <c r="D28" s="97">
        <v>5.0377571673763215E-3</v>
      </c>
      <c r="E28" s="176">
        <v>33808.0881477476</v>
      </c>
      <c r="F28" s="97">
        <v>4.5699423019134331E-3</v>
      </c>
      <c r="G28" s="176">
        <v>5084.4147806786896</v>
      </c>
      <c r="H28" s="97">
        <v>6.3585136455683918E-3</v>
      </c>
      <c r="I28" s="176">
        <v>1290.2227521114701</v>
      </c>
      <c r="J28" s="97">
        <v>6.139134080800664E-3</v>
      </c>
      <c r="K28" s="176">
        <v>4.5924890733816204</v>
      </c>
      <c r="L28" s="97">
        <v>1.953054589300552E-4</v>
      </c>
      <c r="M28" s="176">
        <v>11.7207800766239</v>
      </c>
      <c r="N28" s="97">
        <v>6.6660848919753389E-4</v>
      </c>
      <c r="O28" s="176">
        <v>7330.1486434470398</v>
      </c>
      <c r="P28" s="97">
        <v>7.4333799503967599E-3</v>
      </c>
      <c r="Q28" s="176">
        <v>851.74014230957096</v>
      </c>
      <c r="R28" s="97">
        <v>5.4922255861031919E-3</v>
      </c>
      <c r="S28" s="176">
        <v>165.45112048312799</v>
      </c>
      <c r="T28" s="126">
        <v>3.5577511932076257E-3</v>
      </c>
      <c r="U28" s="8"/>
      <c r="V28" s="8"/>
    </row>
    <row r="29" spans="1:22" ht="15" customHeight="1">
      <c r="A29" s="161" t="s">
        <v>21</v>
      </c>
      <c r="B29" s="172"/>
      <c r="C29" s="173">
        <v>100517.63260538023</v>
      </c>
      <c r="D29" s="96">
        <v>1.04309206173392E-2</v>
      </c>
      <c r="E29" s="173">
        <v>76613.8089082933</v>
      </c>
      <c r="F29" s="96">
        <v>1.0356122023541515E-2</v>
      </c>
      <c r="G29" s="173">
        <v>16118.040575303299</v>
      </c>
      <c r="H29" s="96">
        <v>2.0157045669710421E-2</v>
      </c>
      <c r="I29" s="173">
        <v>1906.2815965171001</v>
      </c>
      <c r="J29" s="96">
        <v>9.0704634510817752E-3</v>
      </c>
      <c r="K29" s="173">
        <v>69.729782607311094</v>
      </c>
      <c r="L29" s="96">
        <v>2.96540873056144E-3</v>
      </c>
      <c r="M29" s="173">
        <v>28.882908092917098</v>
      </c>
      <c r="N29" s="96">
        <v>1.6426885925323645E-3</v>
      </c>
      <c r="O29" s="173">
        <v>3155.59606788162</v>
      </c>
      <c r="P29" s="96">
        <v>3.2000366818634432E-3</v>
      </c>
      <c r="Q29" s="173">
        <v>2380.45900860037</v>
      </c>
      <c r="R29" s="96">
        <v>1.5349773040229617E-2</v>
      </c>
      <c r="S29" s="173">
        <v>244.83375808432299</v>
      </c>
      <c r="T29" s="125">
        <v>5.2647427978635784E-3</v>
      </c>
      <c r="U29" s="8"/>
      <c r="V29" s="8"/>
    </row>
    <row r="30" spans="1:22" ht="15" customHeight="1">
      <c r="A30" s="162" t="s">
        <v>9</v>
      </c>
      <c r="B30" s="169"/>
      <c r="C30" s="176">
        <v>28955.894688155822</v>
      </c>
      <c r="D30" s="97">
        <v>3.0048124997327148E-3</v>
      </c>
      <c r="E30" s="176">
        <v>21291.476826603401</v>
      </c>
      <c r="F30" s="97">
        <v>2.878033806433593E-3</v>
      </c>
      <c r="G30" s="176">
        <v>2542.1737704362299</v>
      </c>
      <c r="H30" s="97">
        <v>3.1792147781002076E-3</v>
      </c>
      <c r="I30" s="176">
        <v>359.97658302875902</v>
      </c>
      <c r="J30" s="97">
        <v>1.7128395120496946E-3</v>
      </c>
      <c r="K30" s="176">
        <v>0</v>
      </c>
      <c r="L30" s="97">
        <v>0</v>
      </c>
      <c r="M30" s="176">
        <v>7.5052955376415195E-2</v>
      </c>
      <c r="N30" s="97">
        <v>4.2685671829185258E-6</v>
      </c>
      <c r="O30" s="176">
        <v>4382.9778680414001</v>
      </c>
      <c r="P30" s="97">
        <v>4.4447038378215764E-3</v>
      </c>
      <c r="Q30" s="176">
        <v>294.36097043521698</v>
      </c>
      <c r="R30" s="97">
        <v>1.8981104365829737E-3</v>
      </c>
      <c r="S30" s="176">
        <v>84.853616655438501</v>
      </c>
      <c r="T30" s="126">
        <v>1.8246359107290183E-3</v>
      </c>
      <c r="U30" s="8"/>
      <c r="V30" s="8"/>
    </row>
    <row r="31" spans="1:22" ht="15" customHeight="1">
      <c r="A31" s="161" t="s">
        <v>8</v>
      </c>
      <c r="B31" s="172"/>
      <c r="C31" s="173">
        <v>432753.79726389702</v>
      </c>
      <c r="D31" s="96">
        <v>4.4907747915565198E-2</v>
      </c>
      <c r="E31" s="173">
        <v>326114.141358183</v>
      </c>
      <c r="F31" s="96">
        <v>4.4081842289689706E-2</v>
      </c>
      <c r="G31" s="173">
        <v>34432.158872911001</v>
      </c>
      <c r="H31" s="96">
        <v>4.3060482176192301E-2</v>
      </c>
      <c r="I31" s="173">
        <v>9333.0697609734107</v>
      </c>
      <c r="J31" s="96">
        <v>4.4408584916298038E-2</v>
      </c>
      <c r="K31" s="173">
        <v>262.76631870129501</v>
      </c>
      <c r="L31" s="96">
        <v>1.1174701919873914E-2</v>
      </c>
      <c r="M31" s="173">
        <v>282.98755738359603</v>
      </c>
      <c r="N31" s="96">
        <v>1.6094654694989937E-2</v>
      </c>
      <c r="O31" s="173">
        <v>53720.590113715902</v>
      </c>
      <c r="P31" s="96">
        <v>5.4477143220248977E-2</v>
      </c>
      <c r="Q31" s="173">
        <v>6329.5760342606</v>
      </c>
      <c r="R31" s="96">
        <v>4.0814630798411536E-2</v>
      </c>
      <c r="S31" s="173">
        <v>2278.5072477681701</v>
      </c>
      <c r="T31" s="125">
        <v>4.8995509101469534E-2</v>
      </c>
      <c r="U31" s="8"/>
      <c r="V31" s="8"/>
    </row>
    <row r="32" spans="1:22" ht="15" customHeight="1">
      <c r="A32" s="162"/>
      <c r="B32" s="183" t="s">
        <v>53</v>
      </c>
      <c r="C32" s="184">
        <v>210304.19040063483</v>
      </c>
      <c r="D32" s="203">
        <v>2.182369658639766E-2</v>
      </c>
      <c r="E32" s="184">
        <v>162130.93525007</v>
      </c>
      <c r="F32" s="203">
        <v>2.1915732596593032E-2</v>
      </c>
      <c r="G32" s="184">
        <v>12734.5524928457</v>
      </c>
      <c r="H32" s="203">
        <v>1.592569239308949E-2</v>
      </c>
      <c r="I32" s="184">
        <v>4258.6916535247801</v>
      </c>
      <c r="J32" s="203">
        <v>2.0263694022593485E-2</v>
      </c>
      <c r="K32" s="184">
        <v>158.577005553361</v>
      </c>
      <c r="L32" s="203">
        <v>6.7438276608784648E-3</v>
      </c>
      <c r="M32" s="184">
        <v>211.906045298571</v>
      </c>
      <c r="N32" s="203">
        <v>1.2051959663506733E-2</v>
      </c>
      <c r="O32" s="184">
        <v>26958.619800965502</v>
      </c>
      <c r="P32" s="203">
        <v>2.7338281072650922E-2</v>
      </c>
      <c r="Q32" s="184">
        <v>2430.3909151734701</v>
      </c>
      <c r="R32" s="203">
        <v>1.5671746000315866E-2</v>
      </c>
      <c r="S32" s="184">
        <v>1420.5172372034599</v>
      </c>
      <c r="T32" s="232">
        <v>3.0545860800912372E-2</v>
      </c>
      <c r="U32" s="8"/>
      <c r="V32" s="8"/>
    </row>
    <row r="33" spans="1:22" ht="15" customHeight="1">
      <c r="A33" s="161" t="s">
        <v>19</v>
      </c>
      <c r="B33" s="172"/>
      <c r="C33" s="173">
        <v>142966.03971113783</v>
      </c>
      <c r="D33" s="96">
        <v>1.4835878766233717E-2</v>
      </c>
      <c r="E33" s="173">
        <v>102663.970497375</v>
      </c>
      <c r="F33" s="96">
        <v>1.3877401750965447E-2</v>
      </c>
      <c r="G33" s="173">
        <v>14016.405284075399</v>
      </c>
      <c r="H33" s="96">
        <v>1.7528763506724318E-2</v>
      </c>
      <c r="I33" s="173">
        <v>3366.2160344010899</v>
      </c>
      <c r="J33" s="96">
        <v>1.6017119172879044E-2</v>
      </c>
      <c r="K33" s="173">
        <v>52.259346525984</v>
      </c>
      <c r="L33" s="96">
        <v>2.2224409233328104E-3</v>
      </c>
      <c r="M33" s="173">
        <v>44.994300715041497</v>
      </c>
      <c r="N33" s="96">
        <v>2.5590090954759051E-3</v>
      </c>
      <c r="O33" s="173">
        <v>20149.6910842375</v>
      </c>
      <c r="P33" s="96">
        <v>2.0433461447764641E-2</v>
      </c>
      <c r="Q33" s="173">
        <v>2149.86477598082</v>
      </c>
      <c r="R33" s="96">
        <v>1.3862845887815785E-2</v>
      </c>
      <c r="S33" s="173">
        <v>522.63838782698394</v>
      </c>
      <c r="T33" s="125">
        <v>1.1238469358671871E-2</v>
      </c>
      <c r="U33" s="8"/>
      <c r="V33" s="8"/>
    </row>
    <row r="34" spans="1:22" ht="15" customHeight="1">
      <c r="A34" s="162" t="s">
        <v>20</v>
      </c>
      <c r="B34" s="169"/>
      <c r="C34" s="176">
        <v>190181.32752749103</v>
      </c>
      <c r="D34" s="97">
        <v>1.9735505890070712E-2</v>
      </c>
      <c r="E34" s="176">
        <v>148497.03693148901</v>
      </c>
      <c r="F34" s="97">
        <v>2.0072797012842175E-2</v>
      </c>
      <c r="G34" s="176">
        <v>21973.9290760281</v>
      </c>
      <c r="H34" s="97">
        <v>2.7480355931548545E-2</v>
      </c>
      <c r="I34" s="176">
        <v>2405.3456797676599</v>
      </c>
      <c r="J34" s="97">
        <v>1.1445108695070117E-2</v>
      </c>
      <c r="K34" s="176">
        <v>126.619638288608</v>
      </c>
      <c r="L34" s="97">
        <v>5.3847719984459145E-3</v>
      </c>
      <c r="M34" s="176">
        <v>53.143786122740799</v>
      </c>
      <c r="N34" s="97">
        <v>3.0225035147764148E-3</v>
      </c>
      <c r="O34" s="176">
        <v>14743.0160967756</v>
      </c>
      <c r="P34" s="97">
        <v>1.4950643648968757E-2</v>
      </c>
      <c r="Q34" s="176">
        <v>1230.4487434509599</v>
      </c>
      <c r="R34" s="97">
        <v>7.9342298612875249E-3</v>
      </c>
      <c r="S34" s="176">
        <v>1151.7875755683699</v>
      </c>
      <c r="T34" s="126">
        <v>2.4767276337170289E-2</v>
      </c>
      <c r="U34" s="8"/>
      <c r="V34" s="8"/>
    </row>
    <row r="35" spans="1:22" ht="15" customHeight="1">
      <c r="A35" s="161" t="s">
        <v>22</v>
      </c>
      <c r="B35" s="172"/>
      <c r="C35" s="173">
        <v>211249.73645003428</v>
      </c>
      <c r="D35" s="96">
        <v>2.192181783662691E-2</v>
      </c>
      <c r="E35" s="173">
        <v>167487.11519858701</v>
      </c>
      <c r="F35" s="96">
        <v>2.2639743762690845E-2</v>
      </c>
      <c r="G35" s="173">
        <v>21104.704212693399</v>
      </c>
      <c r="H35" s="96">
        <v>2.6393312802104402E-2</v>
      </c>
      <c r="I35" s="173">
        <v>2632.0317968494601</v>
      </c>
      <c r="J35" s="96">
        <v>1.2523725906511926E-2</v>
      </c>
      <c r="K35" s="173">
        <v>313.48633941123501</v>
      </c>
      <c r="L35" s="96">
        <v>1.3331679707608237E-2</v>
      </c>
      <c r="M35" s="173">
        <v>179.70194734231501</v>
      </c>
      <c r="N35" s="96">
        <v>1.0220381479781201E-2</v>
      </c>
      <c r="O35" s="173">
        <v>16077.405113402299</v>
      </c>
      <c r="P35" s="96">
        <v>1.6303825016046478E-2</v>
      </c>
      <c r="Q35" s="173">
        <v>2365.44843747408</v>
      </c>
      <c r="R35" s="96">
        <v>1.5252981262190034E-2</v>
      </c>
      <c r="S35" s="173">
        <v>1089.8434042745</v>
      </c>
      <c r="T35" s="125">
        <v>2.3435269949486158E-2</v>
      </c>
      <c r="U35" s="8"/>
      <c r="V35" s="8"/>
    </row>
    <row r="36" spans="1:22" ht="15" customHeight="1">
      <c r="A36" s="162" t="s">
        <v>10</v>
      </c>
      <c r="B36" s="169"/>
      <c r="C36" s="176">
        <v>112000.67727950025</v>
      </c>
      <c r="D36" s="97">
        <v>1.1622539682934807E-2</v>
      </c>
      <c r="E36" s="176">
        <v>75672.886679349001</v>
      </c>
      <c r="F36" s="97">
        <v>1.0228934698482741E-2</v>
      </c>
      <c r="G36" s="176">
        <v>11974.8078640116</v>
      </c>
      <c r="H36" s="97">
        <v>1.4975564050306235E-2</v>
      </c>
      <c r="I36" s="176">
        <v>2566.6423312820302</v>
      </c>
      <c r="J36" s="97">
        <v>1.2212589944963118E-2</v>
      </c>
      <c r="K36" s="176">
        <v>132.77032252890399</v>
      </c>
      <c r="L36" s="97">
        <v>5.6463430526368678E-3</v>
      </c>
      <c r="M36" s="176">
        <v>96.630780949677899</v>
      </c>
      <c r="N36" s="97">
        <v>5.4957859867461097E-3</v>
      </c>
      <c r="O36" s="176">
        <v>19093.200842705501</v>
      </c>
      <c r="P36" s="97">
        <v>1.9362092535455552E-2</v>
      </c>
      <c r="Q36" s="176">
        <v>1899.06912972956</v>
      </c>
      <c r="R36" s="97">
        <v>1.2245655154631085E-2</v>
      </c>
      <c r="S36" s="176">
        <v>564.66932894398997</v>
      </c>
      <c r="T36" s="126">
        <v>1.2142274848015272E-2</v>
      </c>
      <c r="U36" s="8"/>
      <c r="V36" s="8"/>
    </row>
    <row r="37" spans="1:22" ht="15" customHeight="1">
      <c r="A37" s="161" t="s">
        <v>11</v>
      </c>
      <c r="B37" s="172"/>
      <c r="C37" s="173">
        <v>75706.602028585708</v>
      </c>
      <c r="D37" s="96">
        <v>7.8562291560217278E-3</v>
      </c>
      <c r="E37" s="173">
        <v>56204.339588266201</v>
      </c>
      <c r="F37" s="96">
        <v>7.5973118596071136E-3</v>
      </c>
      <c r="G37" s="173">
        <v>9917.5736391535502</v>
      </c>
      <c r="H37" s="96">
        <v>1.240280937643517E-2</v>
      </c>
      <c r="I37" s="173">
        <v>1524.93459371683</v>
      </c>
      <c r="J37" s="96">
        <v>7.2559392709190774E-3</v>
      </c>
      <c r="K37" s="173">
        <v>24.8247729818887</v>
      </c>
      <c r="L37" s="96">
        <v>1.0557267753044735E-3</v>
      </c>
      <c r="M37" s="173">
        <v>8.5310292448399192</v>
      </c>
      <c r="N37" s="96">
        <v>4.8519437093992314E-4</v>
      </c>
      <c r="O37" s="173">
        <v>7153.2514691257902</v>
      </c>
      <c r="P37" s="96">
        <v>7.2539915132936537E-3</v>
      </c>
      <c r="Q37" s="173">
        <v>667.05918903696897</v>
      </c>
      <c r="R37" s="96">
        <v>4.3013583175025598E-3</v>
      </c>
      <c r="S37" s="173">
        <v>206.087747059642</v>
      </c>
      <c r="T37" s="125">
        <v>4.4315742671666115E-3</v>
      </c>
      <c r="U37" s="8"/>
      <c r="V37" s="8"/>
    </row>
    <row r="38" spans="1:22" ht="15" customHeight="1">
      <c r="A38" s="162" t="s">
        <v>12</v>
      </c>
      <c r="B38" s="169"/>
      <c r="C38" s="176">
        <v>77462.317158787482</v>
      </c>
      <c r="D38" s="97">
        <v>8.0384233111675564E-3</v>
      </c>
      <c r="E38" s="176">
        <v>58284.436939979103</v>
      </c>
      <c r="F38" s="97">
        <v>7.8784849575400176E-3</v>
      </c>
      <c r="G38" s="176">
        <v>7643.4059855921596</v>
      </c>
      <c r="H38" s="97">
        <v>9.5587601237205593E-3</v>
      </c>
      <c r="I38" s="176">
        <v>1637.34822145565</v>
      </c>
      <c r="J38" s="97">
        <v>7.7908254617480898E-3</v>
      </c>
      <c r="K38" s="176">
        <v>57.605645959072</v>
      </c>
      <c r="L38" s="97">
        <v>2.4498037864060787E-3</v>
      </c>
      <c r="M38" s="176">
        <v>6.5358690565344197</v>
      </c>
      <c r="N38" s="97">
        <v>3.7172148687088837E-4</v>
      </c>
      <c r="O38" s="176">
        <v>8326.2668639630701</v>
      </c>
      <c r="P38" s="97">
        <v>8.4435266157346055E-3</v>
      </c>
      <c r="Q38" s="176">
        <v>1249.4526418575699</v>
      </c>
      <c r="R38" s="97">
        <v>8.0567715754557342E-3</v>
      </c>
      <c r="S38" s="176">
        <v>257.26499092430799</v>
      </c>
      <c r="T38" s="126">
        <v>5.5320557863785674E-3</v>
      </c>
      <c r="U38" s="8"/>
      <c r="V38" s="8"/>
    </row>
    <row r="39" spans="1:22" ht="15" customHeight="1">
      <c r="A39" s="161" t="s">
        <v>23</v>
      </c>
      <c r="B39" s="172"/>
      <c r="C39" s="173">
        <v>64207.591476114212</v>
      </c>
      <c r="D39" s="96">
        <v>6.6629532785280124E-3</v>
      </c>
      <c r="E39" s="173">
        <v>51084.503687331402</v>
      </c>
      <c r="F39" s="96">
        <v>6.9052480386573387E-3</v>
      </c>
      <c r="G39" s="173">
        <v>10021.928323702699</v>
      </c>
      <c r="H39" s="96">
        <v>1.2533314206254774E-2</v>
      </c>
      <c r="I39" s="173">
        <v>963.87961481482398</v>
      </c>
      <c r="J39" s="96">
        <v>4.5863291306984053E-3</v>
      </c>
      <c r="K39" s="173">
        <v>3.80067990288424</v>
      </c>
      <c r="L39" s="96">
        <v>1.6163207376614742E-4</v>
      </c>
      <c r="M39" s="173">
        <v>32.935763528432901</v>
      </c>
      <c r="N39" s="96">
        <v>1.8731909841089669E-3</v>
      </c>
      <c r="O39" s="173">
        <v>1022.31927313219</v>
      </c>
      <c r="P39" s="96">
        <v>1.0367167103219077E-3</v>
      </c>
      <c r="Q39" s="173">
        <v>522.52650839822195</v>
      </c>
      <c r="R39" s="96">
        <v>3.3693767808806855E-3</v>
      </c>
      <c r="S39" s="173">
        <v>555.69762530356104</v>
      </c>
      <c r="T39" s="125">
        <v>1.1949353281581419E-2</v>
      </c>
      <c r="U39" s="8"/>
      <c r="V39" s="8"/>
    </row>
    <row r="40" spans="1:22" ht="15" customHeight="1">
      <c r="A40" s="162" t="s">
        <v>13</v>
      </c>
      <c r="B40" s="169"/>
      <c r="C40" s="176">
        <v>882535.12038895104</v>
      </c>
      <c r="D40" s="97">
        <v>9.158247706580297E-2</v>
      </c>
      <c r="E40" s="176">
        <v>642117.07303997595</v>
      </c>
      <c r="F40" s="97">
        <v>8.6796921554457229E-2</v>
      </c>
      <c r="G40" s="176">
        <v>73988.7473476132</v>
      </c>
      <c r="H40" s="97">
        <v>9.2529520096610196E-2</v>
      </c>
      <c r="I40" s="176">
        <v>22905.714380918002</v>
      </c>
      <c r="J40" s="97">
        <v>0.10898990237991903</v>
      </c>
      <c r="K40" s="176">
        <v>728.39499768337805</v>
      </c>
      <c r="L40" s="97">
        <v>3.0976561300810602E-2</v>
      </c>
      <c r="M40" s="176">
        <v>1097.5003610214001</v>
      </c>
      <c r="N40" s="97">
        <v>6.2419314480044182E-2</v>
      </c>
      <c r="O40" s="176">
        <v>113106.056576679</v>
      </c>
      <c r="P40" s="97">
        <v>0.11469894187986826</v>
      </c>
      <c r="Q40" s="176">
        <v>26442.178509345398</v>
      </c>
      <c r="R40" s="97">
        <v>0.17050553584047373</v>
      </c>
      <c r="S40" s="176">
        <v>2149.4551757148201</v>
      </c>
      <c r="T40" s="126">
        <v>4.6220458911461648E-2</v>
      </c>
      <c r="U40" s="8"/>
      <c r="V40" s="8"/>
    </row>
    <row r="41" spans="1:22" ht="15" customHeight="1">
      <c r="A41" s="161"/>
      <c r="B41" s="179" t="s">
        <v>50</v>
      </c>
      <c r="C41" s="180">
        <v>241380.81328031825</v>
      </c>
      <c r="D41" s="202">
        <v>2.5048581394275779E-2</v>
      </c>
      <c r="E41" s="180">
        <v>170735.11396552101</v>
      </c>
      <c r="F41" s="202">
        <v>2.3078785653989371E-2</v>
      </c>
      <c r="G41" s="180">
        <v>10162.532337127601</v>
      </c>
      <c r="H41" s="202">
        <v>1.2709152051227874E-2</v>
      </c>
      <c r="I41" s="180">
        <v>4205.0913791448902</v>
      </c>
      <c r="J41" s="202">
        <v>2.0008653355664197E-2</v>
      </c>
      <c r="K41" s="180">
        <v>199.890284690116</v>
      </c>
      <c r="L41" s="202">
        <v>8.5007635648692223E-3</v>
      </c>
      <c r="M41" s="180">
        <v>59.998579674210198</v>
      </c>
      <c r="N41" s="202">
        <v>3.4123635363136691E-3</v>
      </c>
      <c r="O41" s="180">
        <v>52663.433849577297</v>
      </c>
      <c r="P41" s="202">
        <v>5.3405098905662085E-2</v>
      </c>
      <c r="Q41" s="180">
        <v>2780.3110778832101</v>
      </c>
      <c r="R41" s="202">
        <v>1.7928115490565066E-2</v>
      </c>
      <c r="S41" s="180">
        <v>574.44180669994296</v>
      </c>
      <c r="T41" s="231">
        <v>1.2352415730079485E-2</v>
      </c>
      <c r="U41" s="8"/>
      <c r="V41" s="8"/>
    </row>
    <row r="42" spans="1:22" ht="15" customHeight="1">
      <c r="A42" s="162" t="s">
        <v>14</v>
      </c>
      <c r="B42" s="169"/>
      <c r="C42" s="176">
        <v>72991.926571607371</v>
      </c>
      <c r="D42" s="97">
        <v>7.5745217236078809E-3</v>
      </c>
      <c r="E42" s="176">
        <v>49412.293603702099</v>
      </c>
      <c r="F42" s="97">
        <v>6.6792103057495434E-3</v>
      </c>
      <c r="G42" s="176">
        <v>7186.1683225696197</v>
      </c>
      <c r="H42" s="97">
        <v>8.9869436915433771E-3</v>
      </c>
      <c r="I42" s="176">
        <v>2562.8560750337001</v>
      </c>
      <c r="J42" s="97">
        <v>1.2194574191687393E-2</v>
      </c>
      <c r="K42" s="176">
        <v>136.12126648692899</v>
      </c>
      <c r="L42" s="97">
        <v>5.7888491396658496E-3</v>
      </c>
      <c r="M42" s="176">
        <v>15.6610645713253</v>
      </c>
      <c r="N42" s="97">
        <v>8.9070851298860844E-4</v>
      </c>
      <c r="O42" s="176">
        <v>11915.5391332323</v>
      </c>
      <c r="P42" s="97">
        <v>1.208334700965698E-2</v>
      </c>
      <c r="Q42" s="176">
        <v>1576.09266067727</v>
      </c>
      <c r="R42" s="97">
        <v>1.0163025090691313E-2</v>
      </c>
      <c r="S42" s="176">
        <v>187.19444533412499</v>
      </c>
      <c r="T42" s="126">
        <v>4.0253052339844254E-3</v>
      </c>
      <c r="U42" s="8"/>
      <c r="V42" s="8"/>
    </row>
    <row r="43" spans="1:22" ht="15" customHeight="1">
      <c r="A43" s="161" t="s">
        <v>24</v>
      </c>
      <c r="B43" s="172"/>
      <c r="C43" s="173">
        <v>53036.588280850694</v>
      </c>
      <c r="D43" s="96">
        <v>5.5037153963218679E-3</v>
      </c>
      <c r="E43" s="173">
        <v>43951.4958585731</v>
      </c>
      <c r="F43" s="96">
        <v>5.9410576332707505E-3</v>
      </c>
      <c r="G43" s="173">
        <v>5888.9766119916103</v>
      </c>
      <c r="H43" s="96">
        <v>7.3646898927438474E-3</v>
      </c>
      <c r="I43" s="173">
        <v>1498.8044634538201</v>
      </c>
      <c r="J43" s="96">
        <v>7.131606962431352E-3</v>
      </c>
      <c r="K43" s="173">
        <v>83.196850254154299</v>
      </c>
      <c r="L43" s="96">
        <v>3.5381246990007732E-3</v>
      </c>
      <c r="M43" s="173">
        <v>94.942059319917306</v>
      </c>
      <c r="N43" s="96">
        <v>5.3997415112990322E-3</v>
      </c>
      <c r="O43" s="173">
        <v>739.90148415542001</v>
      </c>
      <c r="P43" s="96">
        <v>7.5032159989095611E-4</v>
      </c>
      <c r="Q43" s="173">
        <v>354.53339618170202</v>
      </c>
      <c r="R43" s="96">
        <v>2.2861167308109429E-3</v>
      </c>
      <c r="S43" s="173">
        <v>424.73755692095898</v>
      </c>
      <c r="T43" s="125">
        <v>9.1332748035981431E-3</v>
      </c>
      <c r="U43" s="8"/>
      <c r="V43" s="8"/>
    </row>
    <row r="44" spans="1:22" ht="15" customHeight="1">
      <c r="A44" s="233" t="s">
        <v>15</v>
      </c>
      <c r="B44" s="234"/>
      <c r="C44" s="235">
        <v>163346.80895281985</v>
      </c>
      <c r="D44" s="98">
        <v>1.6950832934671967E-2</v>
      </c>
      <c r="E44" s="235">
        <v>118551.42615257901</v>
      </c>
      <c r="F44" s="98">
        <v>1.6024957547412566E-2</v>
      </c>
      <c r="G44" s="235">
        <v>14380.6925590422</v>
      </c>
      <c r="H44" s="98">
        <v>1.7984337197837326E-2</v>
      </c>
      <c r="I44" s="235">
        <v>2955.8930109696898</v>
      </c>
      <c r="J44" s="98">
        <v>1.4064721377101184E-2</v>
      </c>
      <c r="K44" s="235">
        <v>80.910195995912403</v>
      </c>
      <c r="L44" s="98">
        <v>3.4408798167192235E-3</v>
      </c>
      <c r="M44" s="235">
        <v>56.902624376736902</v>
      </c>
      <c r="N44" s="98">
        <v>3.2362839520215085E-3</v>
      </c>
      <c r="O44" s="235">
        <v>24809.254344126399</v>
      </c>
      <c r="P44" s="98">
        <v>2.5158645860583806E-2</v>
      </c>
      <c r="Q44" s="235">
        <v>1953.52193275533</v>
      </c>
      <c r="R44" s="98">
        <v>1.2596779943938565E-2</v>
      </c>
      <c r="S44" s="235">
        <v>558.20813297459097</v>
      </c>
      <c r="T44" s="127">
        <v>1.2003337573957816E-2</v>
      </c>
      <c r="U44" s="8"/>
      <c r="V44" s="8"/>
    </row>
    <row r="45" spans="1:22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0"/>
    </row>
    <row r="46" spans="1:22">
      <c r="A46" s="70" t="s">
        <v>129</v>
      </c>
      <c r="B46" s="70" t="s">
        <v>142</v>
      </c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44"/>
      <c r="Q46" s="44"/>
      <c r="R46" s="44"/>
      <c r="S46" s="44"/>
      <c r="T46" s="44"/>
      <c r="U46" s="40"/>
    </row>
    <row r="47" spans="1:22">
      <c r="A47" s="70"/>
      <c r="B47" s="70" t="s">
        <v>66</v>
      </c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44"/>
      <c r="Q47" s="44"/>
      <c r="R47" s="44"/>
      <c r="S47" s="44"/>
      <c r="T47" s="44"/>
      <c r="U47" s="40"/>
    </row>
    <row r="48" spans="1:22">
      <c r="A48" s="70"/>
      <c r="B48" s="70" t="s">
        <v>67</v>
      </c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44"/>
      <c r="Q48" s="44"/>
      <c r="R48" s="44"/>
      <c r="S48" s="44"/>
      <c r="T48" s="44"/>
      <c r="U48" s="40"/>
    </row>
    <row r="49" spans="1:22">
      <c r="A49" s="70"/>
      <c r="B49" s="70" t="s">
        <v>74</v>
      </c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44"/>
      <c r="Q49" s="44"/>
      <c r="R49" s="44"/>
      <c r="S49" s="44"/>
      <c r="T49" s="44"/>
      <c r="U49" s="40"/>
    </row>
    <row r="50" spans="1:22">
      <c r="A50" s="70"/>
      <c r="B50" s="70" t="s">
        <v>68</v>
      </c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44"/>
      <c r="Q50" s="44"/>
      <c r="R50" s="44"/>
      <c r="S50" s="44"/>
      <c r="T50" s="44"/>
      <c r="U50" s="40"/>
    </row>
    <row r="51" spans="1:22">
      <c r="A51" s="70"/>
      <c r="B51" s="70" t="s">
        <v>69</v>
      </c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44"/>
      <c r="Q51" s="44"/>
      <c r="R51" s="44"/>
      <c r="S51" s="44"/>
      <c r="T51" s="44"/>
      <c r="U51" s="40"/>
    </row>
    <row r="52" spans="1:22">
      <c r="A52" s="70"/>
      <c r="B52" s="70" t="s">
        <v>70</v>
      </c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44"/>
      <c r="Q52" s="44"/>
      <c r="R52" s="44"/>
      <c r="S52" s="44"/>
      <c r="T52" s="44"/>
      <c r="U52" s="40"/>
    </row>
    <row r="53" spans="1:22">
      <c r="A53" s="70"/>
      <c r="B53" s="70" t="s">
        <v>71</v>
      </c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44"/>
      <c r="Q53" s="44"/>
      <c r="R53" s="44"/>
      <c r="S53" s="44"/>
      <c r="T53" s="44"/>
      <c r="U53" s="40"/>
    </row>
    <row r="54" spans="1:22">
      <c r="A54" s="70"/>
      <c r="B54" s="70" t="s">
        <v>72</v>
      </c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44"/>
      <c r="Q54" s="44"/>
      <c r="R54" s="44"/>
      <c r="S54" s="44"/>
      <c r="T54" s="44"/>
      <c r="U54" s="41"/>
      <c r="V54" s="1"/>
    </row>
    <row r="55" spans="1:22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44"/>
      <c r="Q55" s="44"/>
      <c r="R55" s="44"/>
      <c r="S55" s="44"/>
      <c r="T55" s="44"/>
      <c r="U55" s="40"/>
    </row>
    <row r="56" spans="1:22">
      <c r="A56" s="71" t="s">
        <v>127</v>
      </c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44"/>
      <c r="Q56" s="44"/>
      <c r="R56" s="44"/>
      <c r="S56" s="44"/>
      <c r="T56" s="44"/>
      <c r="U56" s="40"/>
    </row>
    <row r="57" spans="1:22">
      <c r="A57" s="38" t="s">
        <v>37</v>
      </c>
      <c r="B57" s="39" t="s">
        <v>52</v>
      </c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44"/>
      <c r="Q57" s="44"/>
      <c r="R57" s="44"/>
      <c r="S57" s="44"/>
      <c r="T57" s="44"/>
      <c r="U57" s="40"/>
    </row>
    <row r="58" spans="1:22">
      <c r="A58" s="38" t="s">
        <v>42</v>
      </c>
      <c r="B58" s="39" t="s">
        <v>43</v>
      </c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44"/>
      <c r="Q58" s="44"/>
      <c r="R58" s="44"/>
      <c r="S58" s="44"/>
      <c r="T58" s="44"/>
      <c r="U58" s="40"/>
    </row>
    <row r="59" spans="1:22">
      <c r="A59" s="38" t="s">
        <v>38</v>
      </c>
      <c r="B59" s="39" t="s">
        <v>44</v>
      </c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44"/>
      <c r="Q59" s="44"/>
      <c r="R59" s="44"/>
      <c r="S59" s="44"/>
      <c r="T59" s="44"/>
      <c r="U59" s="40"/>
    </row>
    <row r="60" spans="1:22">
      <c r="A60" s="38" t="s">
        <v>48</v>
      </c>
      <c r="B60" s="39" t="s">
        <v>49</v>
      </c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44"/>
      <c r="Q60" s="44"/>
      <c r="R60" s="44"/>
      <c r="S60" s="44"/>
      <c r="T60" s="44"/>
      <c r="U60" s="40"/>
    </row>
    <row r="61" spans="1:22">
      <c r="A61" s="38" t="s">
        <v>1</v>
      </c>
      <c r="B61" s="39" t="s">
        <v>46</v>
      </c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44"/>
      <c r="Q61" s="44"/>
      <c r="R61" s="44"/>
      <c r="S61" s="44"/>
      <c r="T61" s="44"/>
      <c r="U61" s="40"/>
    </row>
    <row r="62" spans="1:22">
      <c r="A62" s="38"/>
      <c r="B62" s="39" t="s">
        <v>45</v>
      </c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44"/>
      <c r="Q62" s="44"/>
      <c r="R62" s="44"/>
      <c r="S62" s="44"/>
      <c r="T62" s="44"/>
      <c r="U62" s="40"/>
    </row>
    <row r="63" spans="1:22">
      <c r="A63" s="38"/>
      <c r="B63" s="39" t="s">
        <v>47</v>
      </c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44"/>
      <c r="Q63" s="44"/>
      <c r="R63" s="44"/>
      <c r="S63" s="44"/>
      <c r="T63" s="44"/>
      <c r="U63" s="40"/>
    </row>
    <row r="64" spans="1:22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44"/>
      <c r="Q64" s="44"/>
      <c r="R64" s="44"/>
      <c r="S64" s="44"/>
      <c r="T64" s="44"/>
      <c r="U64" s="40"/>
    </row>
    <row r="65" spans="1:2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44"/>
      <c r="Q65" s="44"/>
      <c r="R65" s="44"/>
      <c r="S65" s="44"/>
      <c r="T65" s="44"/>
      <c r="U65" s="40"/>
    </row>
  </sheetData>
  <mergeCells count="4">
    <mergeCell ref="A2:T2"/>
    <mergeCell ref="A1:T1"/>
    <mergeCell ref="A4:B4"/>
    <mergeCell ref="A5:B5"/>
  </mergeCells>
  <hyperlinks>
    <hyperlink ref="V1" location="INDICE!Área_de_impresión" display="INDICE"/>
  </hyperlink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/>
  <dimension ref="A1:Q68"/>
  <sheetViews>
    <sheetView showGridLines="0" zoomScale="90" zoomScaleNormal="90" workbookViewId="0">
      <selection sqref="A1:K1"/>
    </sheetView>
  </sheetViews>
  <sheetFormatPr baseColWidth="10" defaultRowHeight="12.75"/>
  <cols>
    <col min="1" max="1" width="17.42578125" style="8" customWidth="1"/>
    <col min="2" max="2" width="20.85546875" style="8" customWidth="1"/>
    <col min="3" max="11" width="13.7109375" style="8" customWidth="1"/>
    <col min="12" max="12" width="1.7109375" style="2" customWidth="1"/>
    <col min="13" max="13" width="13.7109375" style="2" customWidth="1"/>
    <col min="14" max="16384" width="11.42578125" style="8"/>
  </cols>
  <sheetData>
    <row r="1" spans="1:17" s="30" customFormat="1" ht="30" customHeight="1">
      <c r="A1" s="323" t="s">
        <v>54</v>
      </c>
      <c r="B1" s="324"/>
      <c r="C1" s="324"/>
      <c r="D1" s="324"/>
      <c r="E1" s="324"/>
      <c r="F1" s="324"/>
      <c r="G1" s="324"/>
      <c r="H1" s="324"/>
      <c r="I1" s="324"/>
      <c r="J1" s="324"/>
      <c r="K1" s="325"/>
      <c r="L1" s="8"/>
      <c r="M1" s="31" t="s">
        <v>134</v>
      </c>
      <c r="N1" s="8"/>
      <c r="O1" s="8"/>
      <c r="P1" s="8"/>
      <c r="Q1" s="8"/>
    </row>
    <row r="2" spans="1:17" ht="30" customHeight="1">
      <c r="A2" s="328" t="s">
        <v>297</v>
      </c>
      <c r="B2" s="328"/>
      <c r="C2" s="328"/>
      <c r="D2" s="328"/>
      <c r="E2" s="328"/>
      <c r="F2" s="328"/>
      <c r="G2" s="328"/>
      <c r="H2" s="328"/>
      <c r="I2" s="328"/>
      <c r="J2" s="328"/>
      <c r="K2" s="338"/>
      <c r="L2" s="19"/>
    </row>
    <row r="3" spans="1:17" ht="8.1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0"/>
      <c r="M3" s="40"/>
      <c r="N3" s="44"/>
    </row>
    <row r="4" spans="1:17" s="5" customFormat="1" ht="23.25" customHeight="1">
      <c r="A4" s="378" t="s">
        <v>224</v>
      </c>
      <c r="B4" s="379"/>
      <c r="C4" s="243" t="s">
        <v>0</v>
      </c>
      <c r="D4" s="243" t="s">
        <v>37</v>
      </c>
      <c r="E4" s="243" t="s">
        <v>42</v>
      </c>
      <c r="F4" s="243" t="s">
        <v>38</v>
      </c>
      <c r="G4" s="243" t="s">
        <v>40</v>
      </c>
      <c r="H4" s="243" t="s">
        <v>41</v>
      </c>
      <c r="I4" s="243" t="s">
        <v>39</v>
      </c>
      <c r="J4" s="243" t="s">
        <v>103</v>
      </c>
      <c r="K4" s="243" t="s">
        <v>1</v>
      </c>
    </row>
    <row r="5" spans="1:17" s="5" customFormat="1" ht="15" customHeight="1">
      <c r="A5" s="349" t="s">
        <v>0</v>
      </c>
      <c r="B5" s="350"/>
      <c r="C5" s="204">
        <v>1.128780454475547E-2</v>
      </c>
      <c r="D5" s="204">
        <v>7.7072968170150743E-3</v>
      </c>
      <c r="E5" s="204">
        <v>4.180719322489603E-3</v>
      </c>
      <c r="F5" s="204">
        <v>2.4171640966205005E-3</v>
      </c>
      <c r="G5" s="204">
        <v>9.2283909467453691E-3</v>
      </c>
      <c r="H5" s="204">
        <v>1.8995940025871429E-2</v>
      </c>
      <c r="I5" s="204">
        <v>4.7832272243722822E-2</v>
      </c>
      <c r="J5" s="204">
        <v>7.5444418039477524E-4</v>
      </c>
      <c r="K5" s="204">
        <v>1.5052335867978006E-3</v>
      </c>
    </row>
    <row r="6" spans="1:17" ht="15" customHeight="1">
      <c r="A6" s="160" t="s">
        <v>141</v>
      </c>
      <c r="B6" s="169"/>
      <c r="C6" s="137">
        <v>1.2746401633565845E-2</v>
      </c>
      <c r="D6" s="137">
        <v>7.4986604021969787E-3</v>
      </c>
      <c r="E6" s="137">
        <v>4.9917170706564266E-3</v>
      </c>
      <c r="F6" s="137">
        <v>1.5174580768088886E-3</v>
      </c>
      <c r="G6" s="137">
        <v>2.6197639459944141E-3</v>
      </c>
      <c r="H6" s="137">
        <v>4.6190931771414485E-3</v>
      </c>
      <c r="I6" s="137">
        <v>7.6305565162316957E-2</v>
      </c>
      <c r="J6" s="137">
        <v>1.9081285967925254E-4</v>
      </c>
      <c r="K6" s="137">
        <v>4.6577896442038743E-4</v>
      </c>
      <c r="L6" s="8"/>
      <c r="M6" s="8"/>
    </row>
    <row r="7" spans="1:17" ht="15" customHeight="1">
      <c r="A7" s="161" t="s">
        <v>104</v>
      </c>
      <c r="B7" s="172"/>
      <c r="C7" s="139">
        <v>2.0115472722225327E-2</v>
      </c>
      <c r="D7" s="139">
        <v>1.3680616899241155E-2</v>
      </c>
      <c r="E7" s="139">
        <v>1.0490579553726002E-2</v>
      </c>
      <c r="F7" s="139">
        <v>4.965530069823359E-3</v>
      </c>
      <c r="G7" s="139">
        <v>1.0290561229213907E-2</v>
      </c>
      <c r="H7" s="139">
        <v>2.3397316971093048E-2</v>
      </c>
      <c r="I7" s="139">
        <v>7.7152058143811486E-2</v>
      </c>
      <c r="J7" s="139">
        <v>2.1172616689064455E-3</v>
      </c>
      <c r="K7" s="139">
        <v>2.1072908740746256E-3</v>
      </c>
      <c r="L7" s="8"/>
      <c r="M7" s="8"/>
    </row>
    <row r="8" spans="1:17" ht="15" customHeight="1">
      <c r="A8" s="162" t="s">
        <v>2</v>
      </c>
      <c r="B8" s="169"/>
      <c r="C8" s="140">
        <v>1.6841950124571948E-2</v>
      </c>
      <c r="D8" s="140">
        <v>1.160555128655299E-2</v>
      </c>
      <c r="E8" s="140">
        <v>6.8470847710826073E-3</v>
      </c>
      <c r="F8" s="140">
        <v>4.542932985917624E-3</v>
      </c>
      <c r="G8" s="140">
        <v>2.7295904914015352E-2</v>
      </c>
      <c r="H8" s="140">
        <v>2.7323513027453738E-2</v>
      </c>
      <c r="I8" s="140">
        <v>6.7564492445646371E-2</v>
      </c>
      <c r="J8" s="140">
        <v>1.49659381949746E-3</v>
      </c>
      <c r="K8" s="140">
        <v>3.0477949929507589E-3</v>
      </c>
      <c r="L8" s="8"/>
      <c r="M8" s="8"/>
    </row>
    <row r="9" spans="1:17" ht="15" customHeight="1">
      <c r="A9" s="161"/>
      <c r="B9" s="179" t="s">
        <v>93</v>
      </c>
      <c r="C9" s="205">
        <v>1.3086955974036229E-2</v>
      </c>
      <c r="D9" s="205">
        <v>6.4567054859731117E-3</v>
      </c>
      <c r="E9" s="205">
        <v>4.8421010434229316E-3</v>
      </c>
      <c r="F9" s="205">
        <v>1.7826886368038316E-3</v>
      </c>
      <c r="G9" s="205">
        <v>1.6744432896131714E-2</v>
      </c>
      <c r="H9" s="205">
        <v>1.0069423352224532E-2</v>
      </c>
      <c r="I9" s="205">
        <v>7.3434685269120989E-2</v>
      </c>
      <c r="J9" s="205">
        <v>1.4462444575311421E-3</v>
      </c>
      <c r="K9" s="205">
        <v>4.5219593544267565E-4</v>
      </c>
      <c r="L9" s="8"/>
      <c r="M9" s="8"/>
    </row>
    <row r="10" spans="1:17" ht="15" customHeight="1">
      <c r="A10" s="162"/>
      <c r="B10" s="183" t="s">
        <v>94</v>
      </c>
      <c r="C10" s="206">
        <v>6.1861682088567788E-3</v>
      </c>
      <c r="D10" s="206">
        <v>3.3431290700502809E-3</v>
      </c>
      <c r="E10" s="206">
        <v>3.5313367915445213E-3</v>
      </c>
      <c r="F10" s="206">
        <v>1.8055422966520636E-3</v>
      </c>
      <c r="G10" s="206">
        <v>1.1693385551555266E-2</v>
      </c>
      <c r="H10" s="206">
        <v>4.3349967574919778E-3</v>
      </c>
      <c r="I10" s="206">
        <v>2.9387884242082083E-2</v>
      </c>
      <c r="J10" s="206">
        <v>0</v>
      </c>
      <c r="K10" s="206">
        <v>7.4533579570606339E-4</v>
      </c>
      <c r="L10" s="8"/>
      <c r="M10" s="8"/>
    </row>
    <row r="11" spans="1:17" ht="15" customHeight="1">
      <c r="A11" s="161"/>
      <c r="B11" s="179" t="s">
        <v>95</v>
      </c>
      <c r="C11" s="205">
        <v>2.3543288412159167E-2</v>
      </c>
      <c r="D11" s="205">
        <v>1.5416479006309649E-2</v>
      </c>
      <c r="E11" s="205">
        <v>1.0760649484589994E-2</v>
      </c>
      <c r="F11" s="205">
        <v>7.0457875773030495E-3</v>
      </c>
      <c r="G11" s="205">
        <v>6.2127760424734481E-2</v>
      </c>
      <c r="H11" s="205">
        <v>4.1631992084723603E-2</v>
      </c>
      <c r="I11" s="205">
        <v>8.3811440774447105E-2</v>
      </c>
      <c r="J11" s="205">
        <v>2.6263271601042327E-3</v>
      </c>
      <c r="K11" s="205">
        <v>7.5449070364077327E-3</v>
      </c>
      <c r="L11" s="8"/>
      <c r="M11" s="8"/>
    </row>
    <row r="12" spans="1:17" ht="15" customHeight="1">
      <c r="A12" s="162"/>
      <c r="B12" s="183" t="s">
        <v>96</v>
      </c>
      <c r="C12" s="206">
        <v>2.9473105595927578E-2</v>
      </c>
      <c r="D12" s="206">
        <v>1.9026576485158101E-2</v>
      </c>
      <c r="E12" s="206">
        <v>1.4734837567923221E-2</v>
      </c>
      <c r="F12" s="206">
        <v>7.2723991514353822E-3</v>
      </c>
      <c r="G12" s="206">
        <v>3.6996659583550119E-2</v>
      </c>
      <c r="H12" s="206">
        <v>3.1298775535547496E-2</v>
      </c>
      <c r="I12" s="206">
        <v>0.10721076062717851</v>
      </c>
      <c r="J12" s="206">
        <v>2.2427404992755411E-3</v>
      </c>
      <c r="K12" s="206">
        <v>4.8657349970526037E-3</v>
      </c>
      <c r="L12" s="8"/>
      <c r="M12" s="8"/>
    </row>
    <row r="13" spans="1:17" ht="15" customHeight="1">
      <c r="A13" s="161"/>
      <c r="B13" s="179" t="s">
        <v>97</v>
      </c>
      <c r="C13" s="205">
        <v>2.7761267071959358E-2</v>
      </c>
      <c r="D13" s="205">
        <v>1.8363898955548977E-2</v>
      </c>
      <c r="E13" s="205">
        <v>1.7246206309546357E-2</v>
      </c>
      <c r="F13" s="205">
        <v>8.8923893194197742E-3</v>
      </c>
      <c r="G13" s="205">
        <v>3.0120275769724932E-2</v>
      </c>
      <c r="H13" s="205">
        <v>3.2498007590487987E-2</v>
      </c>
      <c r="I13" s="205">
        <v>9.0466952741302994E-2</v>
      </c>
      <c r="J13" s="205">
        <v>5.3606921741192019E-3</v>
      </c>
      <c r="K13" s="205">
        <v>4.3348741997555175E-3</v>
      </c>
      <c r="L13" s="8"/>
      <c r="M13" s="8"/>
    </row>
    <row r="14" spans="1:17" ht="15" customHeight="1">
      <c r="A14" s="162"/>
      <c r="B14" s="183" t="s">
        <v>98</v>
      </c>
      <c r="C14" s="206">
        <v>2.0853823632112033E-2</v>
      </c>
      <c r="D14" s="206">
        <v>1.5051921713449722E-2</v>
      </c>
      <c r="E14" s="206">
        <v>1.0809608446211705E-2</v>
      </c>
      <c r="F14" s="206">
        <v>1.1395770212017403E-2</v>
      </c>
      <c r="G14" s="206">
        <v>6.4330257725356596E-2</v>
      </c>
      <c r="H14" s="206">
        <v>1.7261520766182377E-2</v>
      </c>
      <c r="I14" s="206">
        <v>6.0931975276256323E-2</v>
      </c>
      <c r="J14" s="206">
        <v>1.2377778938031813E-2</v>
      </c>
      <c r="K14" s="206">
        <v>5.3630433679839962E-3</v>
      </c>
      <c r="L14" s="8"/>
      <c r="M14" s="8"/>
    </row>
    <row r="15" spans="1:17" ht="15" customHeight="1">
      <c r="A15" s="161"/>
      <c r="B15" s="179" t="s">
        <v>99</v>
      </c>
      <c r="C15" s="205">
        <v>2.194441563117806E-2</v>
      </c>
      <c r="D15" s="205">
        <v>1.5923705387408189E-2</v>
      </c>
      <c r="E15" s="205">
        <v>1.3292563184610614E-2</v>
      </c>
      <c r="F15" s="205">
        <v>4.8895397823838487E-3</v>
      </c>
      <c r="G15" s="205">
        <v>2.614435692967856E-2</v>
      </c>
      <c r="H15" s="205">
        <v>2.7751025684382254E-2</v>
      </c>
      <c r="I15" s="205">
        <v>6.5182273615675287E-2</v>
      </c>
      <c r="J15" s="205">
        <v>2.1012531968996094E-3</v>
      </c>
      <c r="K15" s="205">
        <v>1.9057338882300997E-3</v>
      </c>
      <c r="L15" s="8"/>
      <c r="M15" s="8"/>
    </row>
    <row r="16" spans="1:17" ht="15" customHeight="1">
      <c r="A16" s="162"/>
      <c r="B16" s="183" t="s">
        <v>100</v>
      </c>
      <c r="C16" s="206">
        <v>3.8438900792371583E-2</v>
      </c>
      <c r="D16" s="206">
        <v>3.0779839571989143E-2</v>
      </c>
      <c r="E16" s="206">
        <v>2.6669173478786522E-2</v>
      </c>
      <c r="F16" s="206">
        <v>1.0977690891091694E-2</v>
      </c>
      <c r="G16" s="206">
        <v>4.4554313770846267E-2</v>
      </c>
      <c r="H16" s="206">
        <v>5.9211869615791467E-2</v>
      </c>
      <c r="I16" s="206">
        <v>0.11023256536867804</v>
      </c>
      <c r="J16" s="206">
        <v>5.8398387831668612E-3</v>
      </c>
      <c r="K16" s="206">
        <v>8.0931299012635665E-3</v>
      </c>
      <c r="L16" s="8"/>
      <c r="M16" s="8"/>
    </row>
    <row r="17" spans="1:13" ht="15" customHeight="1">
      <c r="A17" s="161"/>
      <c r="B17" s="179" t="s">
        <v>101</v>
      </c>
      <c r="C17" s="205">
        <v>2.170552500498496E-3</v>
      </c>
      <c r="D17" s="205">
        <v>8.4287603544984943E-4</v>
      </c>
      <c r="E17" s="205">
        <v>2.2346033167129606E-4</v>
      </c>
      <c r="F17" s="205">
        <v>0</v>
      </c>
      <c r="G17" s="205">
        <v>0</v>
      </c>
      <c r="H17" s="205">
        <v>0</v>
      </c>
      <c r="I17" s="205">
        <v>2.70341365700296E-2</v>
      </c>
      <c r="J17" s="205">
        <v>0</v>
      </c>
      <c r="K17" s="205">
        <v>0</v>
      </c>
      <c r="L17" s="8"/>
      <c r="M17" s="8"/>
    </row>
    <row r="18" spans="1:13" ht="15" customHeight="1">
      <c r="A18" s="162"/>
      <c r="B18" s="183" t="s">
        <v>102</v>
      </c>
      <c r="C18" s="206">
        <v>1.9649783337649194E-2</v>
      </c>
      <c r="D18" s="206">
        <v>9.5471532820377413E-3</v>
      </c>
      <c r="E18" s="206">
        <v>6.552562593722085E-3</v>
      </c>
      <c r="F18" s="206">
        <v>3.4406917590910024E-4</v>
      </c>
      <c r="G18" s="206">
        <v>1.1681499470403646E-2</v>
      </c>
      <c r="H18" s="206">
        <v>4.0732990839729644E-2</v>
      </c>
      <c r="I18" s="206">
        <v>0.12481090175752596</v>
      </c>
      <c r="J18" s="206">
        <v>4.9407536503547403E-4</v>
      </c>
      <c r="K18" s="206">
        <v>0</v>
      </c>
      <c r="L18" s="8"/>
      <c r="M18" s="8"/>
    </row>
    <row r="19" spans="1:13" ht="15" customHeight="1">
      <c r="A19" s="161"/>
      <c r="B19" s="179" t="s">
        <v>65</v>
      </c>
      <c r="C19" s="205">
        <v>3.5905396211034042E-3</v>
      </c>
      <c r="D19" s="205">
        <v>1.9666920291211672E-3</v>
      </c>
      <c r="E19" s="205">
        <v>1.4010039150488688E-3</v>
      </c>
      <c r="F19" s="205">
        <v>2.045444848926499E-3</v>
      </c>
      <c r="G19" s="205">
        <v>0</v>
      </c>
      <c r="H19" s="205">
        <v>2.9227788686427966E-3</v>
      </c>
      <c r="I19" s="205">
        <v>2.3964503246464194E-2</v>
      </c>
      <c r="J19" s="205">
        <v>7.8898681710226517E-4</v>
      </c>
      <c r="K19" s="205">
        <v>1.7157935281174228E-3</v>
      </c>
      <c r="L19" s="8"/>
      <c r="M19" s="8"/>
    </row>
    <row r="20" spans="1:13" ht="15" customHeight="1">
      <c r="A20" s="162" t="s">
        <v>3</v>
      </c>
      <c r="B20" s="169"/>
      <c r="C20" s="140">
        <v>1.2038702160264993E-3</v>
      </c>
      <c r="D20" s="140">
        <v>7.3542247756815452E-4</v>
      </c>
      <c r="E20" s="140">
        <v>4.9904757196514156E-4</v>
      </c>
      <c r="F20" s="140">
        <v>0</v>
      </c>
      <c r="G20" s="140">
        <v>0</v>
      </c>
      <c r="H20" s="140">
        <v>0</v>
      </c>
      <c r="I20" s="140">
        <v>4.0058594910083959E-3</v>
      </c>
      <c r="J20" s="140">
        <v>0</v>
      </c>
      <c r="K20" s="140">
        <v>0</v>
      </c>
      <c r="L20" s="8"/>
      <c r="M20" s="8"/>
    </row>
    <row r="21" spans="1:13" ht="15" customHeight="1">
      <c r="A21" s="161" t="s">
        <v>16</v>
      </c>
      <c r="B21" s="172"/>
      <c r="C21" s="139">
        <v>3.4991982359991827E-3</v>
      </c>
      <c r="D21" s="139">
        <v>8.5143892052478199E-4</v>
      </c>
      <c r="E21" s="139">
        <v>9.9123453358079512E-4</v>
      </c>
      <c r="F21" s="139">
        <v>8.1412412227965683E-4</v>
      </c>
      <c r="G21" s="139">
        <v>0</v>
      </c>
      <c r="H21" s="139">
        <v>0</v>
      </c>
      <c r="I21" s="139">
        <v>1.3612569109892673E-2</v>
      </c>
      <c r="J21" s="139">
        <v>0</v>
      </c>
      <c r="K21" s="139">
        <v>0</v>
      </c>
      <c r="L21" s="8"/>
      <c r="M21" s="8"/>
    </row>
    <row r="22" spans="1:13" ht="15" customHeight="1">
      <c r="A22" s="162" t="s">
        <v>17</v>
      </c>
      <c r="B22" s="169"/>
      <c r="C22" s="140">
        <v>1.7189395275557303E-3</v>
      </c>
      <c r="D22" s="140">
        <v>1.3910558236443404E-3</v>
      </c>
      <c r="E22" s="140">
        <v>1.0849818919966569E-3</v>
      </c>
      <c r="F22" s="140">
        <v>0</v>
      </c>
      <c r="G22" s="140">
        <v>0</v>
      </c>
      <c r="H22" s="140">
        <v>0</v>
      </c>
      <c r="I22" s="140">
        <v>1.4591636183426595E-2</v>
      </c>
      <c r="J22" s="140">
        <v>8.8333159442285122E-4</v>
      </c>
      <c r="K22" s="140">
        <v>0</v>
      </c>
      <c r="L22" s="8"/>
      <c r="M22" s="8"/>
    </row>
    <row r="23" spans="1:13" ht="15" customHeight="1">
      <c r="A23" s="161" t="s">
        <v>4</v>
      </c>
      <c r="B23" s="172"/>
      <c r="C23" s="139">
        <v>8.514242410931282E-3</v>
      </c>
      <c r="D23" s="139">
        <v>6.4929497668483006E-3</v>
      </c>
      <c r="E23" s="139">
        <v>3.837753623764473E-3</v>
      </c>
      <c r="F23" s="139">
        <v>5.0283177139806253E-4</v>
      </c>
      <c r="G23" s="139">
        <v>5.2333979384060272E-3</v>
      </c>
      <c r="H23" s="139">
        <v>1.2819762904182403E-2</v>
      </c>
      <c r="I23" s="139">
        <v>3.8984663086207912E-2</v>
      </c>
      <c r="J23" s="139">
        <v>3.6906104066420546E-4</v>
      </c>
      <c r="K23" s="139">
        <v>1.3872664246900046E-3</v>
      </c>
      <c r="L23" s="8"/>
      <c r="M23" s="8"/>
    </row>
    <row r="24" spans="1:13" ht="15" customHeight="1">
      <c r="A24" s="162"/>
      <c r="B24" s="183" t="s">
        <v>51</v>
      </c>
      <c r="C24" s="206">
        <v>1.7972215738431878E-2</v>
      </c>
      <c r="D24" s="206">
        <v>1.3861703856711323E-2</v>
      </c>
      <c r="E24" s="206">
        <v>1.2249812430704448E-2</v>
      </c>
      <c r="F24" s="206">
        <v>1.7745876590177418E-3</v>
      </c>
      <c r="G24" s="206">
        <v>7.3475848225083339E-3</v>
      </c>
      <c r="H24" s="206">
        <v>2.7110352169546745E-2</v>
      </c>
      <c r="I24" s="206">
        <v>4.8116389891006722E-2</v>
      </c>
      <c r="J24" s="206">
        <v>5.2263366962936855E-4</v>
      </c>
      <c r="K24" s="206">
        <v>3.0747158346331764E-3</v>
      </c>
      <c r="L24" s="8"/>
      <c r="M24" s="8"/>
    </row>
    <row r="25" spans="1:13" ht="15" customHeight="1">
      <c r="A25" s="161" t="s">
        <v>5</v>
      </c>
      <c r="B25" s="172"/>
      <c r="C25" s="139">
        <v>1.301155720797721E-3</v>
      </c>
      <c r="D25" s="139">
        <v>6.456853059447924E-4</v>
      </c>
      <c r="E25" s="139">
        <v>7.2484315944236445E-4</v>
      </c>
      <c r="F25" s="139">
        <v>1.5853484023404286E-3</v>
      </c>
      <c r="G25" s="139">
        <v>0</v>
      </c>
      <c r="H25" s="139">
        <v>0</v>
      </c>
      <c r="I25" s="139">
        <v>6.3674464165888898E-3</v>
      </c>
      <c r="J25" s="139">
        <v>5.4508261316090401E-4</v>
      </c>
      <c r="K25" s="139">
        <v>0</v>
      </c>
      <c r="L25" s="8"/>
      <c r="M25" s="8"/>
    </row>
    <row r="26" spans="1:13" ht="15" customHeight="1">
      <c r="A26" s="162" t="s">
        <v>6</v>
      </c>
      <c r="B26" s="169"/>
      <c r="C26" s="140">
        <v>1.2137883528104895E-3</v>
      </c>
      <c r="D26" s="140">
        <v>6.907243363416894E-4</v>
      </c>
      <c r="E26" s="140">
        <v>3.7860613149967256E-4</v>
      </c>
      <c r="F26" s="140">
        <v>1.5043819338268142E-4</v>
      </c>
      <c r="G26" s="140">
        <v>0</v>
      </c>
      <c r="H26" s="140">
        <v>0</v>
      </c>
      <c r="I26" s="140">
        <v>9.1514485622809002E-3</v>
      </c>
      <c r="J26" s="140">
        <v>0</v>
      </c>
      <c r="K26" s="140">
        <v>0</v>
      </c>
      <c r="L26" s="8"/>
      <c r="M26" s="8"/>
    </row>
    <row r="27" spans="1:13" ht="15" customHeight="1">
      <c r="A27" s="161" t="s">
        <v>18</v>
      </c>
      <c r="B27" s="172"/>
      <c r="C27" s="139">
        <v>1.1623852835320938E-3</v>
      </c>
      <c r="D27" s="139">
        <v>5.2699650104424478E-4</v>
      </c>
      <c r="E27" s="139">
        <v>1.5326842980604247E-3</v>
      </c>
      <c r="F27" s="139">
        <v>0</v>
      </c>
      <c r="G27" s="139">
        <v>0</v>
      </c>
      <c r="H27" s="139">
        <v>0</v>
      </c>
      <c r="I27" s="139">
        <v>3.9922281866330116E-3</v>
      </c>
      <c r="J27" s="139">
        <v>0</v>
      </c>
      <c r="K27" s="139">
        <v>0</v>
      </c>
      <c r="L27" s="8"/>
      <c r="M27" s="8"/>
    </row>
    <row r="28" spans="1:13" ht="15" customHeight="1">
      <c r="A28" s="162" t="s">
        <v>7</v>
      </c>
      <c r="B28" s="169"/>
      <c r="C28" s="140">
        <v>9.0634978420491615E-4</v>
      </c>
      <c r="D28" s="140">
        <v>6.2115313673539053E-4</v>
      </c>
      <c r="E28" s="140">
        <v>7.8671787659819186E-4</v>
      </c>
      <c r="F28" s="140">
        <v>0</v>
      </c>
      <c r="G28" s="140">
        <v>0</v>
      </c>
      <c r="H28" s="140">
        <v>8.531855332687413E-2</v>
      </c>
      <c r="I28" s="140">
        <v>2.4556118675835483E-3</v>
      </c>
      <c r="J28" s="140">
        <v>0</v>
      </c>
      <c r="K28" s="140">
        <v>0</v>
      </c>
      <c r="L28" s="8"/>
      <c r="M28" s="8"/>
    </row>
    <row r="29" spans="1:13" ht="15" customHeight="1">
      <c r="A29" s="161" t="s">
        <v>21</v>
      </c>
      <c r="B29" s="172"/>
      <c r="C29" s="139">
        <v>7.9588026425244296E-4</v>
      </c>
      <c r="D29" s="139">
        <v>6.6567634120693546E-4</v>
      </c>
      <c r="E29" s="139">
        <v>5.5838052758039065E-4</v>
      </c>
      <c r="F29" s="139">
        <v>1.5737444066402332E-3</v>
      </c>
      <c r="G29" s="139">
        <v>0</v>
      </c>
      <c r="H29" s="139">
        <v>0</v>
      </c>
      <c r="I29" s="139">
        <v>5.070357439867436E-3</v>
      </c>
      <c r="J29" s="139">
        <v>4.2008704892085769E-4</v>
      </c>
      <c r="K29" s="139">
        <v>0</v>
      </c>
      <c r="L29" s="8"/>
      <c r="M29" s="8"/>
    </row>
    <row r="30" spans="1:13" ht="15" customHeight="1">
      <c r="A30" s="162" t="s">
        <v>9</v>
      </c>
      <c r="B30" s="169"/>
      <c r="C30" s="140">
        <v>8.2884677743413015E-4</v>
      </c>
      <c r="D30" s="140">
        <v>3.2877005465649985E-4</v>
      </c>
      <c r="E30" s="140">
        <v>1.9668207020883603E-3</v>
      </c>
      <c r="F30" s="140">
        <v>0</v>
      </c>
      <c r="G30" s="140">
        <v>0</v>
      </c>
      <c r="H30" s="140">
        <v>0</v>
      </c>
      <c r="I30" s="140">
        <v>2.7378646119795218E-3</v>
      </c>
      <c r="J30" s="140">
        <v>0</v>
      </c>
      <c r="K30" s="140">
        <v>0</v>
      </c>
      <c r="L30" s="8"/>
      <c r="M30" s="8"/>
    </row>
    <row r="31" spans="1:13" ht="15" customHeight="1">
      <c r="A31" s="161" t="s">
        <v>8</v>
      </c>
      <c r="B31" s="172"/>
      <c r="C31" s="139">
        <v>1.1013190479513348E-2</v>
      </c>
      <c r="D31" s="139">
        <v>7.5065742006915079E-3</v>
      </c>
      <c r="E31" s="139">
        <v>4.1240516031574321E-3</v>
      </c>
      <c r="F31" s="139">
        <v>9.6431294638274804E-4</v>
      </c>
      <c r="G31" s="139">
        <v>3.8056627841134027E-3</v>
      </c>
      <c r="H31" s="139">
        <v>7.06744854258364E-3</v>
      </c>
      <c r="I31" s="139">
        <v>4.0170817100704574E-2</v>
      </c>
      <c r="J31" s="139">
        <v>7.8994232361474163E-4</v>
      </c>
      <c r="K31" s="139">
        <v>4.3888383544950932E-4</v>
      </c>
      <c r="L31" s="8"/>
      <c r="M31" s="8"/>
    </row>
    <row r="32" spans="1:13" ht="15" customHeight="1">
      <c r="A32" s="162"/>
      <c r="B32" s="183" t="s">
        <v>53</v>
      </c>
      <c r="C32" s="206">
        <v>1.7141836275979015E-2</v>
      </c>
      <c r="D32" s="206">
        <v>1.0769073757003731E-2</v>
      </c>
      <c r="E32" s="206">
        <v>7.2244391824279504E-3</v>
      </c>
      <c r="F32" s="206">
        <v>1.1740695046239525E-3</v>
      </c>
      <c r="G32" s="206">
        <v>6.3060845203278919E-3</v>
      </c>
      <c r="H32" s="206">
        <v>4.7190725426970326E-3</v>
      </c>
      <c r="I32" s="206">
        <v>6.5211053569479788E-2</v>
      </c>
      <c r="J32" s="206">
        <v>4.1145644256517666E-4</v>
      </c>
      <c r="K32" s="206">
        <v>7.0396893033742929E-4</v>
      </c>
      <c r="L32" s="8"/>
      <c r="M32" s="8"/>
    </row>
    <row r="33" spans="1:14" ht="15" customHeight="1">
      <c r="A33" s="161" t="s">
        <v>19</v>
      </c>
      <c r="B33" s="172"/>
      <c r="C33" s="139">
        <v>1.2170722526242325E-3</v>
      </c>
      <c r="D33" s="139">
        <v>5.3572835468511599E-4</v>
      </c>
      <c r="E33" s="139">
        <v>7.1344968965483617E-4</v>
      </c>
      <c r="F33" s="139">
        <v>5.9413893213060992E-4</v>
      </c>
      <c r="G33" s="139">
        <v>0</v>
      </c>
      <c r="H33" s="139">
        <v>0</v>
      </c>
      <c r="I33" s="139">
        <v>5.260626555357994E-3</v>
      </c>
      <c r="J33" s="139">
        <v>4.6514553434821312E-4</v>
      </c>
      <c r="K33" s="139">
        <v>0</v>
      </c>
      <c r="L33" s="8"/>
      <c r="M33" s="8"/>
    </row>
    <row r="34" spans="1:14" ht="15" customHeight="1">
      <c r="A34" s="162" t="s">
        <v>20</v>
      </c>
      <c r="B34" s="169"/>
      <c r="C34" s="140">
        <v>5.7524048981194564E-3</v>
      </c>
      <c r="D34" s="140">
        <v>3.6027654898382181E-3</v>
      </c>
      <c r="E34" s="140">
        <v>2.6394915446993788E-3</v>
      </c>
      <c r="F34" s="140">
        <v>4.1574065981925441E-4</v>
      </c>
      <c r="G34" s="140">
        <v>7.8976690623666877E-3</v>
      </c>
      <c r="H34" s="140">
        <v>0</v>
      </c>
      <c r="I34" s="140">
        <v>3.3778705573611637E-2</v>
      </c>
      <c r="J34" s="140">
        <v>0</v>
      </c>
      <c r="K34" s="140">
        <v>8.6821565122937911E-4</v>
      </c>
      <c r="L34" s="8"/>
      <c r="M34" s="8"/>
    </row>
    <row r="35" spans="1:14" ht="15" customHeight="1">
      <c r="A35" s="161" t="s">
        <v>22</v>
      </c>
      <c r="B35" s="172"/>
      <c r="C35" s="139">
        <v>1.9502982911292202E-3</v>
      </c>
      <c r="D35" s="139">
        <v>1.2120335332022759E-3</v>
      </c>
      <c r="E35" s="139">
        <v>1.1371872241433844E-3</v>
      </c>
      <c r="F35" s="139">
        <v>0</v>
      </c>
      <c r="G35" s="139">
        <v>0</v>
      </c>
      <c r="H35" s="139">
        <v>0</v>
      </c>
      <c r="I35" s="139">
        <v>1.1506832022649103E-2</v>
      </c>
      <c r="J35" s="139">
        <v>0</v>
      </c>
      <c r="K35" s="139">
        <v>0</v>
      </c>
      <c r="L35" s="8"/>
      <c r="M35" s="8"/>
    </row>
    <row r="36" spans="1:14" ht="15" customHeight="1">
      <c r="A36" s="162" t="s">
        <v>10</v>
      </c>
      <c r="B36" s="169"/>
      <c r="C36" s="140">
        <v>6.1606770312476705E-4</v>
      </c>
      <c r="D36" s="140">
        <v>1.9822159109061019E-4</v>
      </c>
      <c r="E36" s="140">
        <v>4.1754323382730115E-4</v>
      </c>
      <c r="F36" s="140">
        <v>7.7922816733136553E-4</v>
      </c>
      <c r="G36" s="140">
        <v>0</v>
      </c>
      <c r="H36" s="140">
        <v>0</v>
      </c>
      <c r="I36" s="140">
        <v>2.4616092601338871E-3</v>
      </c>
      <c r="J36" s="140">
        <v>0</v>
      </c>
      <c r="K36" s="140">
        <v>0</v>
      </c>
      <c r="L36" s="8"/>
      <c r="M36" s="8"/>
    </row>
    <row r="37" spans="1:14" ht="15" customHeight="1">
      <c r="A37" s="161" t="s">
        <v>11</v>
      </c>
      <c r="B37" s="172"/>
      <c r="C37" s="139">
        <v>1.2680532136913475E-3</v>
      </c>
      <c r="D37" s="139">
        <v>5.1597439294624042E-4</v>
      </c>
      <c r="E37" s="139">
        <v>7.0581779926137656E-4</v>
      </c>
      <c r="F37" s="139">
        <v>0</v>
      </c>
      <c r="G37" s="139">
        <v>0</v>
      </c>
      <c r="H37" s="139">
        <v>0</v>
      </c>
      <c r="I37" s="139">
        <v>8.3877940344983699E-3</v>
      </c>
      <c r="J37" s="139">
        <v>0</v>
      </c>
      <c r="K37" s="139">
        <v>0</v>
      </c>
      <c r="L37" s="8"/>
      <c r="M37" s="8"/>
    </row>
    <row r="38" spans="1:14" ht="15" customHeight="1">
      <c r="A38" s="162" t="s">
        <v>12</v>
      </c>
      <c r="B38" s="169"/>
      <c r="C38" s="140">
        <v>1.8202398943342824E-3</v>
      </c>
      <c r="D38" s="140">
        <v>1.5441514875176945E-3</v>
      </c>
      <c r="E38" s="140">
        <v>1.4391489894341645E-3</v>
      </c>
      <c r="F38" s="140">
        <v>0</v>
      </c>
      <c r="G38" s="140">
        <v>0</v>
      </c>
      <c r="H38" s="140">
        <v>0</v>
      </c>
      <c r="I38" s="140">
        <v>4.8040737407930162E-3</v>
      </c>
      <c r="J38" s="140">
        <v>0</v>
      </c>
      <c r="K38" s="140">
        <v>0</v>
      </c>
      <c r="L38" s="8"/>
      <c r="M38" s="8"/>
    </row>
    <row r="39" spans="1:14" ht="15" customHeight="1">
      <c r="A39" s="161" t="s">
        <v>23</v>
      </c>
      <c r="B39" s="172"/>
      <c r="C39" s="139">
        <v>5.139579174571015E-4</v>
      </c>
      <c r="D39" s="139">
        <v>4.1108356711328593E-4</v>
      </c>
      <c r="E39" s="139">
        <v>2.9934358968670217E-4</v>
      </c>
      <c r="F39" s="139">
        <v>0</v>
      </c>
      <c r="G39" s="139">
        <v>0</v>
      </c>
      <c r="H39" s="139">
        <v>0</v>
      </c>
      <c r="I39" s="139">
        <v>8.8035120109060724E-3</v>
      </c>
      <c r="J39" s="139">
        <v>0</v>
      </c>
      <c r="K39" s="139">
        <v>0</v>
      </c>
      <c r="L39" s="8"/>
      <c r="M39" s="8"/>
    </row>
    <row r="40" spans="1:14" ht="15" customHeight="1">
      <c r="A40" s="162" t="s">
        <v>13</v>
      </c>
      <c r="B40" s="169"/>
      <c r="C40" s="140">
        <v>7.5974313600630098E-3</v>
      </c>
      <c r="D40" s="140">
        <v>4.9679414143243032E-3</v>
      </c>
      <c r="E40" s="140">
        <v>2.2706155465871598E-3</v>
      </c>
      <c r="F40" s="140">
        <v>6.1120119491505319E-4</v>
      </c>
      <c r="G40" s="140">
        <v>1.2355933289800213E-2</v>
      </c>
      <c r="H40" s="140">
        <v>5.4669685888905206E-3</v>
      </c>
      <c r="I40" s="140">
        <v>2.9273410285994228E-2</v>
      </c>
      <c r="J40" s="140">
        <v>2.2691019947087318E-4</v>
      </c>
      <c r="K40" s="140">
        <v>4.652341725002203E-4</v>
      </c>
      <c r="L40" s="8"/>
      <c r="M40" s="8"/>
    </row>
    <row r="41" spans="1:14" ht="15" customHeight="1">
      <c r="A41" s="161"/>
      <c r="B41" s="179" t="s">
        <v>50</v>
      </c>
      <c r="C41" s="205">
        <v>1.5166905564065854E-2</v>
      </c>
      <c r="D41" s="205">
        <v>1.1749194137095315E-2</v>
      </c>
      <c r="E41" s="205">
        <v>6.592844950192531E-3</v>
      </c>
      <c r="F41" s="205">
        <v>9.5122784247637546E-4</v>
      </c>
      <c r="G41" s="205">
        <v>3.0016466329524833E-2</v>
      </c>
      <c r="H41" s="205">
        <v>5.0001183632843907E-2</v>
      </c>
      <c r="I41" s="205">
        <v>2.9868922039777427E-2</v>
      </c>
      <c r="J41" s="205">
        <v>3.596719834535026E-4</v>
      </c>
      <c r="K41" s="205">
        <v>1.7408203726410627E-3</v>
      </c>
      <c r="L41" s="8"/>
      <c r="M41" s="8"/>
    </row>
    <row r="42" spans="1:14" ht="15" customHeight="1">
      <c r="A42" s="162" t="s">
        <v>14</v>
      </c>
      <c r="B42" s="169"/>
      <c r="C42" s="140">
        <v>1.0549111883553393E-3</v>
      </c>
      <c r="D42" s="140">
        <v>9.1070453763814931E-4</v>
      </c>
      <c r="E42" s="140">
        <v>8.3493730325739555E-4</v>
      </c>
      <c r="F42" s="140">
        <v>0</v>
      </c>
      <c r="G42" s="140">
        <v>0</v>
      </c>
      <c r="H42" s="140">
        <v>0</v>
      </c>
      <c r="I42" s="140">
        <v>2.0981006163854803E-3</v>
      </c>
      <c r="J42" s="140">
        <v>6.3448046231640053E-4</v>
      </c>
      <c r="K42" s="140">
        <v>0</v>
      </c>
      <c r="L42" s="8"/>
      <c r="M42" s="8"/>
    </row>
    <row r="43" spans="1:14" ht="15" customHeight="1">
      <c r="A43" s="161" t="s">
        <v>24</v>
      </c>
      <c r="B43" s="172"/>
      <c r="C43" s="139">
        <v>9.2389049877274741E-4</v>
      </c>
      <c r="D43" s="139">
        <v>9.5559887506781085E-4</v>
      </c>
      <c r="E43" s="139">
        <v>5.0942637365737837E-4</v>
      </c>
      <c r="F43" s="139">
        <v>6.6719844007911251E-4</v>
      </c>
      <c r="G43" s="139">
        <v>0</v>
      </c>
      <c r="H43" s="139">
        <v>0</v>
      </c>
      <c r="I43" s="139">
        <v>4.0545938401845873E-3</v>
      </c>
      <c r="J43" s="139">
        <v>0</v>
      </c>
      <c r="K43" s="139">
        <v>0</v>
      </c>
      <c r="L43" s="8"/>
      <c r="M43" s="8"/>
    </row>
    <row r="44" spans="1:14" ht="15" customHeight="1">
      <c r="A44" s="233" t="s">
        <v>15</v>
      </c>
      <c r="B44" s="234"/>
      <c r="C44" s="156">
        <v>3.1221913869606444E-3</v>
      </c>
      <c r="D44" s="156">
        <v>1.9063456875595209E-3</v>
      </c>
      <c r="E44" s="156">
        <v>1.6689043244241693E-3</v>
      </c>
      <c r="F44" s="156">
        <v>6.7661447575326607E-4</v>
      </c>
      <c r="G44" s="156">
        <v>1.2359381752709141E-2</v>
      </c>
      <c r="H44" s="156">
        <v>0</v>
      </c>
      <c r="I44" s="156">
        <v>1.0359037657286336E-2</v>
      </c>
      <c r="J44" s="156">
        <v>0</v>
      </c>
      <c r="K44" s="156">
        <v>0</v>
      </c>
      <c r="L44" s="8"/>
      <c r="M44" s="8"/>
    </row>
    <row r="45" spans="1:14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0"/>
      <c r="M45" s="40"/>
      <c r="N45" s="44"/>
    </row>
    <row r="46" spans="1:14">
      <c r="A46" s="70" t="s">
        <v>129</v>
      </c>
      <c r="B46" s="70" t="s">
        <v>142</v>
      </c>
      <c r="C46" s="70"/>
      <c r="D46" s="70"/>
      <c r="E46" s="70"/>
      <c r="F46" s="44"/>
      <c r="G46" s="44"/>
      <c r="H46" s="44"/>
      <c r="I46" s="44"/>
      <c r="J46" s="44"/>
      <c r="K46" s="44"/>
      <c r="L46" s="40"/>
      <c r="M46" s="40"/>
      <c r="N46" s="44"/>
    </row>
    <row r="47" spans="1:14">
      <c r="A47" s="70"/>
      <c r="B47" s="70" t="s">
        <v>66</v>
      </c>
      <c r="C47" s="70"/>
      <c r="D47" s="70"/>
      <c r="E47" s="70"/>
      <c r="F47" s="44"/>
      <c r="G47" s="44"/>
      <c r="H47" s="44"/>
      <c r="I47" s="44"/>
      <c r="J47" s="44"/>
      <c r="K47" s="44"/>
      <c r="L47" s="40"/>
      <c r="M47" s="40"/>
      <c r="N47" s="44"/>
    </row>
    <row r="48" spans="1:14">
      <c r="A48" s="70"/>
      <c r="B48" s="70" t="s">
        <v>67</v>
      </c>
      <c r="C48" s="70"/>
      <c r="D48" s="70"/>
      <c r="E48" s="70"/>
      <c r="F48" s="44"/>
      <c r="G48" s="44"/>
      <c r="H48" s="44"/>
      <c r="I48" s="44"/>
      <c r="J48" s="44"/>
      <c r="K48" s="44"/>
      <c r="L48" s="40"/>
      <c r="M48" s="40"/>
      <c r="N48" s="44"/>
    </row>
    <row r="49" spans="1:14">
      <c r="A49" s="70"/>
      <c r="B49" s="70" t="s">
        <v>74</v>
      </c>
      <c r="C49" s="70"/>
      <c r="D49" s="70"/>
      <c r="E49" s="70"/>
      <c r="F49" s="44"/>
      <c r="G49" s="44"/>
      <c r="H49" s="44"/>
      <c r="I49" s="44"/>
      <c r="J49" s="44"/>
      <c r="K49" s="44"/>
      <c r="L49" s="40"/>
      <c r="M49" s="40"/>
      <c r="N49" s="44"/>
    </row>
    <row r="50" spans="1:14">
      <c r="A50" s="70"/>
      <c r="B50" s="70" t="s">
        <v>68</v>
      </c>
      <c r="C50" s="70"/>
      <c r="D50" s="70"/>
      <c r="E50" s="70"/>
      <c r="F50" s="44"/>
      <c r="G50" s="44"/>
      <c r="H50" s="44"/>
      <c r="I50" s="44"/>
      <c r="J50" s="44"/>
      <c r="K50" s="44"/>
      <c r="L50" s="40"/>
      <c r="M50" s="40"/>
      <c r="N50" s="44"/>
    </row>
    <row r="51" spans="1:14">
      <c r="A51" s="70"/>
      <c r="B51" s="70" t="s">
        <v>69</v>
      </c>
      <c r="C51" s="70"/>
      <c r="D51" s="70"/>
      <c r="E51" s="70"/>
      <c r="F51" s="44"/>
      <c r="G51" s="44"/>
      <c r="H51" s="44"/>
      <c r="I51" s="44"/>
      <c r="J51" s="44"/>
      <c r="K51" s="44"/>
      <c r="L51" s="40"/>
      <c r="M51" s="40"/>
      <c r="N51" s="44"/>
    </row>
    <row r="52" spans="1:14">
      <c r="A52" s="70"/>
      <c r="B52" s="70" t="s">
        <v>70</v>
      </c>
      <c r="C52" s="70"/>
      <c r="D52" s="70"/>
      <c r="E52" s="70"/>
      <c r="F52" s="44"/>
      <c r="G52" s="44"/>
      <c r="H52" s="44"/>
      <c r="I52" s="44"/>
      <c r="J52" s="44"/>
      <c r="K52" s="44"/>
      <c r="L52" s="40"/>
      <c r="M52" s="40"/>
      <c r="N52" s="44"/>
    </row>
    <row r="53" spans="1:14">
      <c r="A53" s="70"/>
      <c r="B53" s="70" t="s">
        <v>71</v>
      </c>
      <c r="C53" s="70"/>
      <c r="D53" s="70"/>
      <c r="E53" s="70"/>
      <c r="F53" s="44"/>
      <c r="G53" s="44"/>
      <c r="H53" s="44"/>
      <c r="I53" s="44"/>
      <c r="J53" s="44"/>
      <c r="K53" s="44"/>
      <c r="L53" s="40"/>
      <c r="M53" s="40"/>
      <c r="N53" s="44"/>
    </row>
    <row r="54" spans="1:14">
      <c r="A54" s="70"/>
      <c r="B54" s="70" t="s">
        <v>72</v>
      </c>
      <c r="C54" s="70"/>
      <c r="D54" s="70"/>
      <c r="E54" s="70"/>
      <c r="F54" s="44"/>
      <c r="G54" s="44"/>
      <c r="H54" s="44"/>
      <c r="I54" s="44"/>
      <c r="J54" s="44"/>
      <c r="K54" s="44"/>
      <c r="L54" s="40"/>
      <c r="M54" s="40"/>
      <c r="N54" s="44"/>
    </row>
    <row r="55" spans="1:14">
      <c r="A55" s="70"/>
      <c r="B55" s="70"/>
      <c r="C55" s="70"/>
      <c r="D55" s="70"/>
      <c r="E55" s="70"/>
      <c r="F55" s="44"/>
      <c r="G55" s="44"/>
      <c r="H55" s="44"/>
      <c r="I55" s="44"/>
      <c r="J55" s="44"/>
      <c r="K55" s="44"/>
      <c r="L55" s="41"/>
      <c r="M55" s="41"/>
      <c r="N55" s="44"/>
    </row>
    <row r="56" spans="1:14">
      <c r="A56" s="71"/>
      <c r="B56" s="70"/>
      <c r="C56" s="70"/>
      <c r="D56" s="70"/>
      <c r="E56" s="70"/>
      <c r="F56" s="44"/>
      <c r="G56" s="44"/>
      <c r="H56" s="44"/>
      <c r="I56" s="44"/>
      <c r="J56" s="44"/>
      <c r="K56" s="44"/>
      <c r="L56" s="40"/>
      <c r="M56" s="40"/>
      <c r="N56" s="44"/>
    </row>
    <row r="57" spans="1:14">
      <c r="A57" s="38" t="s">
        <v>37</v>
      </c>
      <c r="B57" s="39" t="s">
        <v>52</v>
      </c>
      <c r="C57" s="70"/>
      <c r="D57" s="70"/>
      <c r="E57" s="70"/>
      <c r="F57" s="44"/>
      <c r="G57" s="44"/>
      <c r="H57" s="44"/>
      <c r="I57" s="44"/>
      <c r="J57" s="44"/>
      <c r="K57" s="44"/>
      <c r="L57" s="40"/>
      <c r="M57" s="40"/>
      <c r="N57" s="44"/>
    </row>
    <row r="58" spans="1:14">
      <c r="A58" s="38" t="s">
        <v>42</v>
      </c>
      <c r="B58" s="39" t="s">
        <v>43</v>
      </c>
      <c r="C58" s="70"/>
      <c r="D58" s="70"/>
      <c r="E58" s="70"/>
      <c r="F58" s="44"/>
      <c r="G58" s="44"/>
      <c r="H58" s="44"/>
      <c r="I58" s="44"/>
      <c r="J58" s="44"/>
      <c r="K58" s="44"/>
      <c r="L58" s="40"/>
      <c r="M58" s="40"/>
      <c r="N58" s="44"/>
    </row>
    <row r="59" spans="1:14">
      <c r="A59" s="38" t="s">
        <v>38</v>
      </c>
      <c r="B59" s="39" t="s">
        <v>44</v>
      </c>
      <c r="C59" s="70"/>
      <c r="D59" s="70"/>
      <c r="E59" s="70"/>
      <c r="F59" s="44"/>
      <c r="G59" s="44"/>
      <c r="H59" s="44"/>
      <c r="I59" s="44"/>
      <c r="J59" s="44"/>
      <c r="K59" s="44"/>
      <c r="L59" s="40"/>
      <c r="M59" s="40"/>
      <c r="N59" s="44"/>
    </row>
    <row r="60" spans="1:14">
      <c r="A60" s="38" t="s">
        <v>48</v>
      </c>
      <c r="B60" s="39" t="s">
        <v>49</v>
      </c>
      <c r="C60" s="70"/>
      <c r="D60" s="70"/>
      <c r="E60" s="70"/>
      <c r="F60" s="44"/>
      <c r="G60" s="44"/>
      <c r="H60" s="44"/>
      <c r="I60" s="44"/>
      <c r="J60" s="44"/>
      <c r="K60" s="44"/>
      <c r="L60" s="40"/>
      <c r="M60" s="40"/>
      <c r="N60" s="44"/>
    </row>
    <row r="61" spans="1:14">
      <c r="A61" s="38" t="s">
        <v>1</v>
      </c>
      <c r="B61" s="39" t="s">
        <v>46</v>
      </c>
      <c r="C61" s="70"/>
      <c r="D61" s="70"/>
      <c r="E61" s="70"/>
      <c r="F61" s="44"/>
      <c r="G61" s="44"/>
      <c r="H61" s="44"/>
      <c r="I61" s="44"/>
      <c r="J61" s="44"/>
      <c r="K61" s="44"/>
      <c r="L61" s="40"/>
      <c r="M61" s="40"/>
      <c r="N61" s="44"/>
    </row>
    <row r="62" spans="1:14">
      <c r="A62" s="38"/>
      <c r="B62" s="39" t="s">
        <v>45</v>
      </c>
      <c r="C62" s="70"/>
      <c r="D62" s="70"/>
      <c r="E62" s="70"/>
      <c r="F62" s="44"/>
      <c r="G62" s="44"/>
      <c r="H62" s="44"/>
      <c r="I62" s="44"/>
      <c r="J62" s="44"/>
      <c r="K62" s="44"/>
      <c r="L62" s="40"/>
      <c r="M62" s="40"/>
      <c r="N62" s="44"/>
    </row>
    <row r="63" spans="1:14">
      <c r="A63" s="38"/>
      <c r="B63" s="39" t="s">
        <v>47</v>
      </c>
      <c r="C63" s="70"/>
      <c r="D63" s="70"/>
      <c r="E63" s="70"/>
      <c r="F63" s="44"/>
      <c r="G63" s="44"/>
      <c r="H63" s="44"/>
      <c r="I63" s="44"/>
      <c r="J63" s="44"/>
      <c r="K63" s="44"/>
      <c r="L63" s="40"/>
      <c r="M63" s="40"/>
      <c r="N63" s="44"/>
    </row>
    <row r="64" spans="1:14">
      <c r="A64" s="70"/>
      <c r="B64" s="70"/>
      <c r="C64" s="70"/>
      <c r="D64" s="70"/>
      <c r="E64" s="70"/>
      <c r="F64" s="44"/>
      <c r="G64" s="44"/>
      <c r="H64" s="44"/>
      <c r="I64" s="44"/>
      <c r="J64" s="44"/>
      <c r="K64" s="44"/>
      <c r="L64" s="40"/>
      <c r="M64" s="40"/>
      <c r="N64" s="44"/>
    </row>
    <row r="65" spans="1:14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0"/>
      <c r="M65" s="40"/>
      <c r="N65" s="44"/>
    </row>
    <row r="66" spans="1:14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8"/>
      <c r="M66" s="8"/>
    </row>
    <row r="67" spans="1:14">
      <c r="L67" s="8"/>
      <c r="M67" s="8"/>
    </row>
    <row r="68" spans="1:14">
      <c r="L68" s="8"/>
      <c r="M68" s="8"/>
    </row>
  </sheetData>
  <mergeCells count="4">
    <mergeCell ref="A2:K2"/>
    <mergeCell ref="A1:K1"/>
    <mergeCell ref="A4:B4"/>
    <mergeCell ref="A5:B5"/>
  </mergeCells>
  <hyperlinks>
    <hyperlink ref="M1" location="INDICE!Área_de_impresión" display="INDICE"/>
  </hyperlink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>
    <pageSetUpPr fitToPage="1"/>
  </sheetPr>
  <dimension ref="A1:P49"/>
  <sheetViews>
    <sheetView showGridLines="0" zoomScale="90" zoomScaleNormal="90" workbookViewId="0">
      <selection sqref="A1:N1"/>
    </sheetView>
  </sheetViews>
  <sheetFormatPr baseColWidth="10" defaultRowHeight="12.75"/>
  <cols>
    <col min="1" max="1" width="15.7109375" style="8" customWidth="1"/>
    <col min="2" max="2" width="21.85546875" style="8" bestFit="1" customWidth="1"/>
    <col min="3" max="14" width="13.7109375" style="8" customWidth="1"/>
    <col min="15" max="15" width="1.7109375" style="2" customWidth="1"/>
    <col min="16" max="16" width="13.7109375" style="2" customWidth="1"/>
    <col min="17" max="20" width="11.42578125" style="8"/>
    <col min="21" max="21" width="12.140625" style="8" bestFit="1" customWidth="1"/>
    <col min="22" max="22" width="12.140625" style="8" customWidth="1"/>
    <col min="23" max="16384" width="11.42578125" style="8"/>
  </cols>
  <sheetData>
    <row r="1" spans="1:16" s="30" customFormat="1" ht="30" customHeight="1">
      <c r="A1" s="323" t="s">
        <v>54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5"/>
      <c r="P1" s="31" t="s">
        <v>134</v>
      </c>
    </row>
    <row r="2" spans="1:16" ht="30" customHeight="1">
      <c r="A2" s="328" t="s">
        <v>157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38"/>
      <c r="O2" s="19"/>
    </row>
    <row r="3" spans="1:16" ht="8.1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0"/>
      <c r="P3" s="40"/>
    </row>
    <row r="4" spans="1:16" ht="22.5" customHeight="1">
      <c r="A4" s="380" t="s">
        <v>265</v>
      </c>
      <c r="B4" s="380"/>
      <c r="C4" s="363" t="s">
        <v>0</v>
      </c>
      <c r="D4" s="363"/>
      <c r="E4" s="363"/>
      <c r="F4" s="363" t="s">
        <v>37</v>
      </c>
      <c r="G4" s="363"/>
      <c r="H4" s="363"/>
      <c r="I4" s="363" t="s">
        <v>42</v>
      </c>
      <c r="J4" s="363"/>
      <c r="K4" s="363"/>
      <c r="L4" s="363" t="s">
        <v>39</v>
      </c>
      <c r="M4" s="363"/>
      <c r="N4" s="363"/>
    </row>
    <row r="5" spans="1:16" s="5" customFormat="1" ht="23.25" customHeight="1">
      <c r="A5" s="381"/>
      <c r="B5" s="381"/>
      <c r="C5" s="248">
        <v>2024</v>
      </c>
      <c r="D5" s="248">
        <v>2023</v>
      </c>
      <c r="E5" s="286" t="s">
        <v>156</v>
      </c>
      <c r="F5" s="248">
        <v>2024</v>
      </c>
      <c r="G5" s="248">
        <v>2023</v>
      </c>
      <c r="H5" s="286" t="s">
        <v>156</v>
      </c>
      <c r="I5" s="248">
        <v>2024</v>
      </c>
      <c r="J5" s="248">
        <v>2023</v>
      </c>
      <c r="K5" s="286" t="s">
        <v>156</v>
      </c>
      <c r="L5" s="248">
        <v>2024</v>
      </c>
      <c r="M5" s="248">
        <v>2023</v>
      </c>
      <c r="N5" s="286" t="s">
        <v>156</v>
      </c>
    </row>
    <row r="6" spans="1:16" s="5" customFormat="1" ht="15" customHeight="1">
      <c r="A6" s="349" t="s">
        <v>0</v>
      </c>
      <c r="B6" s="350"/>
      <c r="C6" s="204">
        <v>1.1287809037715044E-2</v>
      </c>
      <c r="D6" s="204">
        <v>1.0358645829238669E-2</v>
      </c>
      <c r="E6" s="249">
        <v>0.09</v>
      </c>
      <c r="F6" s="204">
        <v>7.7073008131015941E-3</v>
      </c>
      <c r="G6" s="204">
        <v>6.6800430667642062E-3</v>
      </c>
      <c r="H6" s="249">
        <v>0.1</v>
      </c>
      <c r="I6" s="204">
        <v>4.180719322489603E-3</v>
      </c>
      <c r="J6" s="204">
        <v>3.879484130221249E-3</v>
      </c>
      <c r="K6" s="249">
        <v>0.03</v>
      </c>
      <c r="L6" s="204">
        <v>4.7832272243722822E-2</v>
      </c>
      <c r="M6" s="204">
        <v>4.7137864466591323E-2</v>
      </c>
      <c r="N6" s="249">
        <v>7.0000000000000007E-2</v>
      </c>
    </row>
    <row r="7" spans="1:16" ht="15" customHeight="1">
      <c r="A7" s="160" t="s">
        <v>141</v>
      </c>
      <c r="B7" s="169"/>
      <c r="C7" s="137">
        <v>1.2746401633565845E-2</v>
      </c>
      <c r="D7" s="137">
        <v>1.2230342203591336E-2</v>
      </c>
      <c r="E7" s="250">
        <v>0.05</v>
      </c>
      <c r="F7" s="137">
        <v>7.4986604021969787E-3</v>
      </c>
      <c r="G7" s="137">
        <v>6.2922485031797403E-3</v>
      </c>
      <c r="H7" s="250">
        <v>0.12</v>
      </c>
      <c r="I7" s="137">
        <v>4.9917170706564266E-3</v>
      </c>
      <c r="J7" s="137">
        <v>4.5506175762683619E-3</v>
      </c>
      <c r="K7" s="250">
        <v>0.04</v>
      </c>
      <c r="L7" s="137">
        <v>7.6305565162316957E-2</v>
      </c>
      <c r="M7" s="137">
        <v>7.1813510554574925E-2</v>
      </c>
      <c r="N7" s="250">
        <v>0.45</v>
      </c>
      <c r="O7" s="8"/>
      <c r="P7" s="8"/>
    </row>
    <row r="8" spans="1:16" ht="15" customHeight="1">
      <c r="A8" s="161" t="s">
        <v>104</v>
      </c>
      <c r="B8" s="172"/>
      <c r="C8" s="139">
        <v>2.0115472722225327E-2</v>
      </c>
      <c r="D8" s="139">
        <v>1.7817460001786307E-2</v>
      </c>
      <c r="E8" s="251">
        <v>0.23</v>
      </c>
      <c r="F8" s="139">
        <v>1.3680616899241155E-2</v>
      </c>
      <c r="G8" s="139">
        <v>1.1572178776948161E-2</v>
      </c>
      <c r="H8" s="251">
        <v>0.21</v>
      </c>
      <c r="I8" s="139">
        <v>1.0490579553726002E-2</v>
      </c>
      <c r="J8" s="139">
        <v>8.9691999837526459E-3</v>
      </c>
      <c r="K8" s="251">
        <v>0.15</v>
      </c>
      <c r="L8" s="139">
        <v>7.7152058143811486E-2</v>
      </c>
      <c r="M8" s="139">
        <v>7.0166153723306576E-2</v>
      </c>
      <c r="N8" s="251">
        <v>0.7</v>
      </c>
      <c r="O8" s="8"/>
      <c r="P8" s="8"/>
    </row>
    <row r="9" spans="1:16" ht="15" customHeight="1">
      <c r="A9" s="162" t="s">
        <v>2</v>
      </c>
      <c r="B9" s="169"/>
      <c r="C9" s="140">
        <v>1.6841950124571948E-2</v>
      </c>
      <c r="D9" s="140">
        <v>1.4711448493999071E-2</v>
      </c>
      <c r="E9" s="252">
        <v>0.21</v>
      </c>
      <c r="F9" s="140">
        <v>1.160555128655299E-2</v>
      </c>
      <c r="G9" s="140">
        <v>9.8271752038950784E-3</v>
      </c>
      <c r="H9" s="252">
        <v>0.18</v>
      </c>
      <c r="I9" s="140">
        <v>6.8470847710826073E-3</v>
      </c>
      <c r="J9" s="140">
        <v>6.2902735998735014E-3</v>
      </c>
      <c r="K9" s="252">
        <v>0.05</v>
      </c>
      <c r="L9" s="140">
        <v>6.7564492445646371E-2</v>
      </c>
      <c r="M9" s="140">
        <v>6.0177786821753433E-2</v>
      </c>
      <c r="N9" s="252">
        <v>0.74</v>
      </c>
      <c r="O9" s="8"/>
      <c r="P9" s="8"/>
    </row>
    <row r="10" spans="1:16" ht="15" customHeight="1">
      <c r="A10" s="161"/>
      <c r="B10" s="179" t="s">
        <v>93</v>
      </c>
      <c r="C10" s="205">
        <v>1.3086955974036229E-2</v>
      </c>
      <c r="D10" s="205">
        <v>1.1124125501556711E-2</v>
      </c>
      <c r="E10" s="253">
        <v>0.2</v>
      </c>
      <c r="F10" s="205">
        <v>6.4567054859731117E-3</v>
      </c>
      <c r="G10" s="205">
        <v>4.9010428140259816E-3</v>
      </c>
      <c r="H10" s="253">
        <v>0.16</v>
      </c>
      <c r="I10" s="205">
        <v>4.8421010434229316E-3</v>
      </c>
      <c r="J10" s="205">
        <v>5.7092975030593749E-3</v>
      </c>
      <c r="K10" s="253">
        <v>-0.09</v>
      </c>
      <c r="L10" s="205">
        <v>7.3434685269120989E-2</v>
      </c>
      <c r="M10" s="205">
        <v>6.9515431697241628E-2</v>
      </c>
      <c r="N10" s="253">
        <v>0.39</v>
      </c>
      <c r="O10" s="8"/>
      <c r="P10" s="8"/>
    </row>
    <row r="11" spans="1:16" ht="15" customHeight="1">
      <c r="A11" s="162"/>
      <c r="B11" s="183" t="s">
        <v>94</v>
      </c>
      <c r="C11" s="206">
        <v>6.1861682088567788E-3</v>
      </c>
      <c r="D11" s="206">
        <v>6.4817022039368481E-3</v>
      </c>
      <c r="E11" s="254">
        <v>-0.03</v>
      </c>
      <c r="F11" s="206">
        <v>3.3431290700502809E-3</v>
      </c>
      <c r="G11" s="206">
        <v>3.4331341998079844E-3</v>
      </c>
      <c r="H11" s="254">
        <v>-0.01</v>
      </c>
      <c r="I11" s="206">
        <v>3.5313367915445213E-3</v>
      </c>
      <c r="J11" s="206">
        <v>2.9125199807523115E-3</v>
      </c>
      <c r="K11" s="254">
        <v>0.06</v>
      </c>
      <c r="L11" s="206">
        <v>2.9387884242082083E-2</v>
      </c>
      <c r="M11" s="206">
        <v>2.9787507614418132E-2</v>
      </c>
      <c r="N11" s="254">
        <v>-0.04</v>
      </c>
      <c r="O11" s="8"/>
      <c r="P11" s="8"/>
    </row>
    <row r="12" spans="1:16" ht="15" customHeight="1">
      <c r="A12" s="161"/>
      <c r="B12" s="179" t="s">
        <v>95</v>
      </c>
      <c r="C12" s="205">
        <v>2.3543288412159167E-2</v>
      </c>
      <c r="D12" s="205">
        <v>1.892961723616542E-2</v>
      </c>
      <c r="E12" s="253">
        <v>0.46</v>
      </c>
      <c r="F12" s="205">
        <v>1.5416479006309649E-2</v>
      </c>
      <c r="G12" s="205">
        <v>1.205576975661057E-2</v>
      </c>
      <c r="H12" s="253">
        <v>0.33</v>
      </c>
      <c r="I12" s="205">
        <v>1.0760649484589994E-2</v>
      </c>
      <c r="J12" s="205">
        <v>7.4262443199484447E-3</v>
      </c>
      <c r="K12" s="253">
        <v>0.34</v>
      </c>
      <c r="L12" s="205">
        <v>8.3811440774447105E-2</v>
      </c>
      <c r="M12" s="205">
        <v>6.846121195259347E-2</v>
      </c>
      <c r="N12" s="253">
        <v>1.53</v>
      </c>
      <c r="O12" s="8"/>
      <c r="P12" s="8"/>
    </row>
    <row r="13" spans="1:16" ht="15" customHeight="1">
      <c r="A13" s="162"/>
      <c r="B13" s="183" t="s">
        <v>96</v>
      </c>
      <c r="C13" s="206">
        <v>2.9473105595927578E-2</v>
      </c>
      <c r="D13" s="206">
        <v>2.605848576656055E-2</v>
      </c>
      <c r="E13" s="254">
        <v>0.34</v>
      </c>
      <c r="F13" s="206">
        <v>1.9026576485158101E-2</v>
      </c>
      <c r="G13" s="206">
        <v>1.5864818228454564E-2</v>
      </c>
      <c r="H13" s="254">
        <v>0.31</v>
      </c>
      <c r="I13" s="206">
        <v>1.4734837567923221E-2</v>
      </c>
      <c r="J13" s="206">
        <v>1.1725722377862138E-2</v>
      </c>
      <c r="K13" s="254">
        <v>0.3</v>
      </c>
      <c r="L13" s="206">
        <v>0.10721076062717851</v>
      </c>
      <c r="M13" s="206">
        <v>0.10023873723014623</v>
      </c>
      <c r="N13" s="254">
        <v>0.7</v>
      </c>
      <c r="O13" s="8"/>
      <c r="P13" s="8"/>
    </row>
    <row r="14" spans="1:16" ht="15" customHeight="1">
      <c r="A14" s="161"/>
      <c r="B14" s="179" t="s">
        <v>97</v>
      </c>
      <c r="C14" s="205">
        <v>2.7761267071959358E-2</v>
      </c>
      <c r="D14" s="205">
        <v>2.2291240571935666E-2</v>
      </c>
      <c r="E14" s="253">
        <v>0.55000000000000004</v>
      </c>
      <c r="F14" s="205">
        <v>1.8363898955548977E-2</v>
      </c>
      <c r="G14" s="205">
        <v>1.5348268647751137E-2</v>
      </c>
      <c r="H14" s="253">
        <v>0.31</v>
      </c>
      <c r="I14" s="205">
        <v>1.7246206309546357E-2</v>
      </c>
      <c r="J14" s="205">
        <v>1.5985463153082722E-2</v>
      </c>
      <c r="K14" s="253">
        <v>0.12</v>
      </c>
      <c r="L14" s="205">
        <v>9.0466952741302994E-2</v>
      </c>
      <c r="M14" s="205">
        <v>6.6545398602596159E-2</v>
      </c>
      <c r="N14" s="253">
        <v>2.4</v>
      </c>
      <c r="O14" s="8"/>
      <c r="P14" s="8"/>
    </row>
    <row r="15" spans="1:16" ht="15" customHeight="1">
      <c r="A15" s="162"/>
      <c r="B15" s="183" t="s">
        <v>98</v>
      </c>
      <c r="C15" s="206">
        <v>2.0853823632112033E-2</v>
      </c>
      <c r="D15" s="206">
        <v>1.8758002600170583E-2</v>
      </c>
      <c r="E15" s="254">
        <v>0.21</v>
      </c>
      <c r="F15" s="206">
        <v>1.5051921713449722E-2</v>
      </c>
      <c r="G15" s="206">
        <v>1.2354724755663489E-2</v>
      </c>
      <c r="H15" s="254">
        <v>0.27</v>
      </c>
      <c r="I15" s="206">
        <v>1.0809608446211705E-2</v>
      </c>
      <c r="J15" s="206">
        <v>6.9675572842500567E-3</v>
      </c>
      <c r="K15" s="254">
        <v>0.38</v>
      </c>
      <c r="L15" s="206">
        <v>6.0931975276256323E-2</v>
      </c>
      <c r="M15" s="206">
        <v>6.5944593016443454E-2</v>
      </c>
      <c r="N15" s="254">
        <v>-0.5</v>
      </c>
      <c r="O15" s="8"/>
      <c r="P15" s="8"/>
    </row>
    <row r="16" spans="1:16" ht="15" customHeight="1">
      <c r="A16" s="161"/>
      <c r="B16" s="179" t="s">
        <v>99</v>
      </c>
      <c r="C16" s="205">
        <v>2.194441563117806E-2</v>
      </c>
      <c r="D16" s="205">
        <v>1.8879570450964677E-2</v>
      </c>
      <c r="E16" s="253">
        <v>0.3</v>
      </c>
      <c r="F16" s="205">
        <v>1.5923705387408189E-2</v>
      </c>
      <c r="G16" s="205">
        <v>1.3250726654729305E-2</v>
      </c>
      <c r="H16" s="253">
        <v>0.26</v>
      </c>
      <c r="I16" s="205">
        <v>1.3292563184610614E-2</v>
      </c>
      <c r="J16" s="205">
        <v>1.3562537264979017E-2</v>
      </c>
      <c r="K16" s="253">
        <v>-0.03</v>
      </c>
      <c r="L16" s="205">
        <v>6.5182273615675287E-2</v>
      </c>
      <c r="M16" s="205">
        <v>6.0285964526301861E-2</v>
      </c>
      <c r="N16" s="253">
        <v>0.49</v>
      </c>
      <c r="O16" s="8"/>
      <c r="P16" s="8"/>
    </row>
    <row r="17" spans="1:16" ht="15" customHeight="1">
      <c r="A17" s="162"/>
      <c r="B17" s="183" t="s">
        <v>100</v>
      </c>
      <c r="C17" s="206">
        <v>3.8438900792371583E-2</v>
      </c>
      <c r="D17" s="206">
        <v>3.2163707273830201E-2</v>
      </c>
      <c r="E17" s="254">
        <v>0.62</v>
      </c>
      <c r="F17" s="206">
        <v>3.0779839571989143E-2</v>
      </c>
      <c r="G17" s="206">
        <v>2.5369800004309905E-2</v>
      </c>
      <c r="H17" s="254">
        <v>0.54</v>
      </c>
      <c r="I17" s="206">
        <v>2.6669173478786522E-2</v>
      </c>
      <c r="J17" s="206">
        <v>2.0736774357456991E-2</v>
      </c>
      <c r="K17" s="254">
        <v>0.6</v>
      </c>
      <c r="L17" s="206">
        <v>0.11023256536867804</v>
      </c>
      <c r="M17" s="206">
        <v>9.6143668322259401E-2</v>
      </c>
      <c r="N17" s="254">
        <v>1.41</v>
      </c>
      <c r="O17" s="8"/>
      <c r="P17" s="8"/>
    </row>
    <row r="18" spans="1:16" ht="15" customHeight="1">
      <c r="A18" s="161"/>
      <c r="B18" s="179" t="s">
        <v>101</v>
      </c>
      <c r="C18" s="205">
        <v>2.170552500498496E-3</v>
      </c>
      <c r="D18" s="205">
        <v>1.9487681275820391E-3</v>
      </c>
      <c r="E18" s="253">
        <v>0.03</v>
      </c>
      <c r="F18" s="205">
        <v>8.4287603544984943E-4</v>
      </c>
      <c r="G18" s="205">
        <v>7.1678593538341791E-4</v>
      </c>
      <c r="H18" s="253">
        <v>0.01</v>
      </c>
      <c r="I18" s="205">
        <v>2.2346033167129606E-4</v>
      </c>
      <c r="J18" s="205">
        <v>4.5282580463696471E-4</v>
      </c>
      <c r="K18" s="253">
        <v>-0.03</v>
      </c>
      <c r="L18" s="205">
        <v>2.70341365700296E-2</v>
      </c>
      <c r="M18" s="205">
        <v>2.5206603348577526E-2</v>
      </c>
      <c r="N18" s="253">
        <v>0.18</v>
      </c>
      <c r="O18" s="8"/>
      <c r="P18" s="8"/>
    </row>
    <row r="19" spans="1:16" ht="15" customHeight="1">
      <c r="A19" s="162"/>
      <c r="B19" s="183" t="s">
        <v>158</v>
      </c>
      <c r="C19" s="206">
        <v>1.9649783337649194E-2</v>
      </c>
      <c r="D19" s="206">
        <v>1.3610009641473917E-2</v>
      </c>
      <c r="E19" s="254">
        <v>0.6</v>
      </c>
      <c r="F19" s="206">
        <v>9.5471532820377413E-3</v>
      </c>
      <c r="G19" s="206">
        <v>7.059607646582298E-3</v>
      </c>
      <c r="H19" s="254">
        <v>0.24</v>
      </c>
      <c r="I19" s="206">
        <v>6.552562593722085E-3</v>
      </c>
      <c r="J19" s="206">
        <v>6.3770497501202603E-3</v>
      </c>
      <c r="K19" s="254">
        <v>0.02</v>
      </c>
      <c r="L19" s="206">
        <v>0.12481090175752596</v>
      </c>
      <c r="M19" s="206">
        <v>8.1182369698615642E-2</v>
      </c>
      <c r="N19" s="254">
        <v>4.3600000000000003</v>
      </c>
      <c r="O19" s="8"/>
      <c r="P19" s="8"/>
    </row>
    <row r="20" spans="1:16" ht="15" customHeight="1">
      <c r="A20" s="161"/>
      <c r="B20" s="179" t="s">
        <v>65</v>
      </c>
      <c r="C20" s="205">
        <v>3.5905396211034042E-3</v>
      </c>
      <c r="D20" s="205">
        <v>3.4294900795425239E-3</v>
      </c>
      <c r="E20" s="253">
        <v>0.02</v>
      </c>
      <c r="F20" s="205">
        <v>1.9666920291211672E-3</v>
      </c>
      <c r="G20" s="205">
        <v>1.8839110624474039E-3</v>
      </c>
      <c r="H20" s="253">
        <v>0.01</v>
      </c>
      <c r="I20" s="205">
        <v>1.4010039150488688E-3</v>
      </c>
      <c r="J20" s="205">
        <v>1.6038386417172588E-3</v>
      </c>
      <c r="K20" s="253">
        <v>-0.02</v>
      </c>
      <c r="L20" s="205">
        <v>2.3964503246464194E-2</v>
      </c>
      <c r="M20" s="205">
        <v>2.1979404516680772E-2</v>
      </c>
      <c r="N20" s="253">
        <v>0.2</v>
      </c>
      <c r="O20" s="8"/>
      <c r="P20" s="8"/>
    </row>
    <row r="21" spans="1:16" ht="15" customHeight="1">
      <c r="A21" s="162"/>
      <c r="B21" s="169" t="s">
        <v>51</v>
      </c>
      <c r="C21" s="140">
        <v>1.7972215738431878E-2</v>
      </c>
      <c r="D21" s="140">
        <v>1.7044169525377236E-2</v>
      </c>
      <c r="E21" s="252">
        <v>0.1</v>
      </c>
      <c r="F21" s="140">
        <v>1.3861703856711323E-2</v>
      </c>
      <c r="G21" s="140">
        <v>1.2837734569846198E-2</v>
      </c>
      <c r="H21" s="252">
        <v>0.11</v>
      </c>
      <c r="I21" s="140">
        <v>1.2249812430704448E-2</v>
      </c>
      <c r="J21" s="140">
        <v>9.5324249239672736E-3</v>
      </c>
      <c r="K21" s="252">
        <v>0.27</v>
      </c>
      <c r="L21" s="140">
        <v>4.8116389891006722E-2</v>
      </c>
      <c r="M21" s="140">
        <v>4.9303889106665617E-2</v>
      </c>
      <c r="N21" s="252">
        <v>-0.12</v>
      </c>
      <c r="O21" s="8"/>
      <c r="P21" s="8"/>
    </row>
    <row r="22" spans="1:16" ht="15" customHeight="1">
      <c r="A22" s="161"/>
      <c r="B22" s="172" t="s">
        <v>53</v>
      </c>
      <c r="C22" s="139">
        <v>1.7141836275979015E-2</v>
      </c>
      <c r="D22" s="139">
        <v>1.4725650636122795E-2</v>
      </c>
      <c r="E22" s="251">
        <v>0.24</v>
      </c>
      <c r="F22" s="139">
        <v>1.0769073757003731E-2</v>
      </c>
      <c r="G22" s="139">
        <v>9.084628783851488E-3</v>
      </c>
      <c r="H22" s="251">
        <v>0.17</v>
      </c>
      <c r="I22" s="139">
        <v>7.2244391824279504E-3</v>
      </c>
      <c r="J22" s="139">
        <v>7.6528256820281478E-3</v>
      </c>
      <c r="K22" s="251">
        <v>-0.05</v>
      </c>
      <c r="L22" s="139">
        <v>6.5211053569479788E-2</v>
      </c>
      <c r="M22" s="139">
        <v>5.9984544286507999E-2</v>
      </c>
      <c r="N22" s="251">
        <v>0.52</v>
      </c>
      <c r="O22" s="8"/>
      <c r="P22" s="8"/>
    </row>
    <row r="23" spans="1:16" ht="15" customHeight="1">
      <c r="A23" s="162"/>
      <c r="B23" s="169" t="s">
        <v>50</v>
      </c>
      <c r="C23" s="140">
        <v>1.5166905564065854E-2</v>
      </c>
      <c r="D23" s="140">
        <v>1.6352854963940039E-2</v>
      </c>
      <c r="E23" s="252">
        <v>-0.12</v>
      </c>
      <c r="F23" s="140">
        <v>1.1749194137095315E-2</v>
      </c>
      <c r="G23" s="140">
        <v>9.8719613327193402E-3</v>
      </c>
      <c r="H23" s="252">
        <v>0.18</v>
      </c>
      <c r="I23" s="140">
        <v>6.592844950192531E-3</v>
      </c>
      <c r="J23" s="140">
        <v>6.9670452242038055E-3</v>
      </c>
      <c r="K23" s="252">
        <v>-0.04</v>
      </c>
      <c r="L23" s="140">
        <v>2.9868922039777427E-2</v>
      </c>
      <c r="M23" s="140">
        <v>4.46724465326441E-2</v>
      </c>
      <c r="N23" s="252">
        <v>-1.48</v>
      </c>
      <c r="O23" s="8"/>
      <c r="P23" s="8"/>
    </row>
    <row r="24" spans="1:16" ht="15" customHeight="1">
      <c r="A24" s="163" t="s">
        <v>55</v>
      </c>
      <c r="B24" s="187"/>
      <c r="C24" s="141">
        <v>3.014148465416307E-3</v>
      </c>
      <c r="D24" s="141">
        <v>8.1007242399744957E-4</v>
      </c>
      <c r="E24" s="255">
        <v>0.22</v>
      </c>
      <c r="F24" s="141">
        <v>1.8959677009070142E-3</v>
      </c>
      <c r="G24" s="141">
        <v>4.6783522743122988E-4</v>
      </c>
      <c r="H24" s="255">
        <v>0.14000000000000001</v>
      </c>
      <c r="I24" s="141">
        <v>1.4277612579756114E-3</v>
      </c>
      <c r="J24" s="141">
        <v>4.7278593970474737E-4</v>
      </c>
      <c r="K24" s="255">
        <v>0.09</v>
      </c>
      <c r="L24" s="141">
        <v>1.5237792016144766E-2</v>
      </c>
      <c r="M24" s="141">
        <v>4.1005659165140795E-3</v>
      </c>
      <c r="N24" s="255">
        <v>1.1100000000000001</v>
      </c>
      <c r="O24" s="8"/>
      <c r="P24" s="8"/>
    </row>
    <row r="25" spans="1:16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0"/>
      <c r="P25" s="40"/>
    </row>
    <row r="26" spans="1:16">
      <c r="A26" s="70" t="s">
        <v>143</v>
      </c>
      <c r="B26" s="39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40"/>
      <c r="P26" s="40"/>
    </row>
    <row r="27" spans="1:16">
      <c r="A27" s="70"/>
      <c r="B27" s="39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40"/>
      <c r="P27" s="40"/>
    </row>
    <row r="28" spans="1:16">
      <c r="A28" s="70" t="s">
        <v>129</v>
      </c>
      <c r="B28" s="70"/>
      <c r="C28" s="70" t="s">
        <v>142</v>
      </c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40"/>
      <c r="P28" s="40"/>
    </row>
    <row r="29" spans="1:16">
      <c r="A29" s="70"/>
      <c r="B29" s="70"/>
      <c r="C29" s="70" t="s">
        <v>66</v>
      </c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40"/>
      <c r="P29" s="40"/>
    </row>
    <row r="30" spans="1:16">
      <c r="A30" s="70"/>
      <c r="B30" s="70"/>
      <c r="C30" s="70" t="s">
        <v>67</v>
      </c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40"/>
      <c r="P30" s="40"/>
    </row>
    <row r="31" spans="1:16">
      <c r="A31" s="70"/>
      <c r="B31" s="70"/>
      <c r="C31" s="70" t="s">
        <v>74</v>
      </c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40"/>
      <c r="P31" s="40"/>
    </row>
    <row r="32" spans="1:16">
      <c r="A32" s="70"/>
      <c r="B32" s="70"/>
      <c r="C32" s="70" t="s">
        <v>68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40"/>
      <c r="P32" s="40"/>
    </row>
    <row r="33" spans="1:16">
      <c r="A33" s="70"/>
      <c r="B33" s="70"/>
      <c r="C33" s="70" t="s">
        <v>69</v>
      </c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40"/>
      <c r="P33" s="40"/>
    </row>
    <row r="34" spans="1:16">
      <c r="A34" s="70"/>
      <c r="B34" s="70"/>
      <c r="C34" s="70" t="s">
        <v>70</v>
      </c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40"/>
      <c r="P34" s="40"/>
    </row>
    <row r="35" spans="1:16">
      <c r="A35" s="70"/>
      <c r="B35" s="70"/>
      <c r="C35" s="70" t="s">
        <v>71</v>
      </c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40"/>
      <c r="P35" s="40"/>
    </row>
    <row r="36" spans="1:16">
      <c r="A36" s="70"/>
      <c r="B36" s="70"/>
      <c r="C36" s="70" t="s">
        <v>72</v>
      </c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40"/>
      <c r="P36" s="40"/>
    </row>
    <row r="37" spans="1:16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40"/>
      <c r="P37" s="40"/>
    </row>
    <row r="38" spans="1:16">
      <c r="A38" s="71" t="s">
        <v>127</v>
      </c>
      <c r="B38" s="71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40"/>
      <c r="P38" s="40"/>
    </row>
    <row r="39" spans="1:16">
      <c r="A39" s="38" t="s">
        <v>37</v>
      </c>
      <c r="B39" s="38"/>
      <c r="C39" s="39" t="s">
        <v>52</v>
      </c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40"/>
      <c r="P39" s="40"/>
    </row>
    <row r="40" spans="1:16">
      <c r="A40" s="38" t="s">
        <v>42</v>
      </c>
      <c r="B40" s="38"/>
      <c r="C40" s="39" t="s">
        <v>43</v>
      </c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40"/>
      <c r="P40" s="40"/>
    </row>
    <row r="41" spans="1:16">
      <c r="A41" s="38" t="s">
        <v>38</v>
      </c>
      <c r="B41" s="38"/>
      <c r="C41" s="39" t="s">
        <v>44</v>
      </c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40"/>
      <c r="P41" s="40"/>
    </row>
    <row r="42" spans="1:16">
      <c r="A42" s="38" t="s">
        <v>48</v>
      </c>
      <c r="B42" s="38"/>
      <c r="C42" s="39" t="s">
        <v>49</v>
      </c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40"/>
      <c r="P42" s="40"/>
    </row>
    <row r="43" spans="1:16">
      <c r="A43" s="38" t="s">
        <v>1</v>
      </c>
      <c r="B43" s="38"/>
      <c r="C43" s="39" t="s">
        <v>46</v>
      </c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40"/>
      <c r="P43" s="40"/>
    </row>
    <row r="44" spans="1:16">
      <c r="A44" s="38"/>
      <c r="B44" s="38"/>
      <c r="C44" s="39" t="s">
        <v>45</v>
      </c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40"/>
      <c r="P44" s="40"/>
    </row>
    <row r="45" spans="1:16">
      <c r="A45" s="38"/>
      <c r="B45" s="38"/>
      <c r="C45" s="39" t="s">
        <v>47</v>
      </c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40"/>
      <c r="P45" s="40"/>
    </row>
    <row r="46" spans="1:1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40"/>
      <c r="P46" s="40"/>
    </row>
    <row r="47" spans="1:16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</row>
    <row r="49" spans="15:16" ht="15" customHeight="1">
      <c r="O49" s="8"/>
      <c r="P49" s="8"/>
    </row>
  </sheetData>
  <mergeCells count="8">
    <mergeCell ref="A2:N2"/>
    <mergeCell ref="A1:N1"/>
    <mergeCell ref="L4:N4"/>
    <mergeCell ref="A4:B5"/>
    <mergeCell ref="A6:B6"/>
    <mergeCell ref="C4:E4"/>
    <mergeCell ref="F4:H4"/>
    <mergeCell ref="I4:K4"/>
  </mergeCells>
  <hyperlinks>
    <hyperlink ref="P1" location="INDICE!Área_de_impresión" display="INDICE"/>
  </hyperlinks>
  <pageMargins left="0.7" right="0.7" top="0.75" bottom="0.75" header="0.3" footer="0.3"/>
  <pageSetup scale="4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"/>
  <dimension ref="A1:P71"/>
  <sheetViews>
    <sheetView showGridLines="0" zoomScale="90" zoomScaleNormal="90" workbookViewId="0">
      <selection sqref="A1:G1"/>
    </sheetView>
  </sheetViews>
  <sheetFormatPr baseColWidth="10" defaultRowHeight="12.75"/>
  <cols>
    <col min="1" max="2" width="22.42578125" style="8" customWidth="1"/>
    <col min="3" max="3" width="23" style="8" bestFit="1" customWidth="1"/>
    <col min="4" max="6" width="13.7109375" style="8" customWidth="1"/>
    <col min="7" max="7" width="13.7109375" style="24" customWidth="1"/>
    <col min="8" max="8" width="1.7109375" style="26" customWidth="1"/>
    <col min="9" max="9" width="0.5703125" style="2" customWidth="1"/>
    <col min="10" max="10" width="13.7109375" style="2" customWidth="1"/>
    <col min="11" max="16384" width="11.42578125" style="8"/>
  </cols>
  <sheetData>
    <row r="1" spans="1:16" s="30" customFormat="1" ht="30" customHeight="1">
      <c r="A1" s="323" t="s">
        <v>54</v>
      </c>
      <c r="B1" s="324"/>
      <c r="C1" s="324"/>
      <c r="D1" s="324"/>
      <c r="E1" s="324"/>
      <c r="F1" s="324"/>
      <c r="G1" s="325"/>
      <c r="H1" s="8"/>
      <c r="I1" s="8"/>
      <c r="J1" s="31" t="s">
        <v>134</v>
      </c>
      <c r="K1" s="8"/>
      <c r="L1" s="8"/>
      <c r="M1" s="8"/>
      <c r="N1" s="8"/>
      <c r="O1" s="8"/>
      <c r="P1" s="8"/>
    </row>
    <row r="2" spans="1:16" ht="30" customHeight="1">
      <c r="A2" s="328" t="s">
        <v>298</v>
      </c>
      <c r="B2" s="328"/>
      <c r="C2" s="328"/>
      <c r="D2" s="328"/>
      <c r="E2" s="328"/>
      <c r="F2" s="328"/>
      <c r="G2" s="338"/>
      <c r="H2" s="25"/>
      <c r="I2" s="19"/>
    </row>
    <row r="3" spans="1:16" ht="8.1" customHeight="1">
      <c r="A3" s="44"/>
      <c r="B3" s="44"/>
      <c r="C3" s="44"/>
      <c r="D3" s="44"/>
      <c r="E3" s="44"/>
      <c r="F3" s="44"/>
      <c r="G3" s="51"/>
      <c r="H3" s="52"/>
      <c r="I3" s="41"/>
      <c r="J3" s="41"/>
    </row>
    <row r="4" spans="1:16" s="5" customFormat="1" ht="45.75" customHeight="1">
      <c r="A4" s="269" t="s">
        <v>224</v>
      </c>
      <c r="B4" s="269" t="s">
        <v>225</v>
      </c>
      <c r="C4" s="269" t="s">
        <v>226</v>
      </c>
      <c r="D4" s="269" t="s">
        <v>130</v>
      </c>
      <c r="E4" s="270" t="s">
        <v>145</v>
      </c>
      <c r="F4" s="269" t="s">
        <v>133</v>
      </c>
      <c r="G4" s="270" t="s">
        <v>156</v>
      </c>
    </row>
    <row r="5" spans="1:16" s="5" customFormat="1" ht="15" customHeight="1">
      <c r="A5" s="344" t="s">
        <v>0</v>
      </c>
      <c r="B5" s="382"/>
      <c r="C5" s="345"/>
      <c r="D5" s="192">
        <v>108775</v>
      </c>
      <c r="E5" s="244">
        <v>1</v>
      </c>
      <c r="F5" s="204">
        <v>1.1287809037715042E-2</v>
      </c>
      <c r="G5" s="262">
        <v>0.09</v>
      </c>
    </row>
    <row r="6" spans="1:16" ht="15" customHeight="1">
      <c r="A6" s="160" t="s">
        <v>141</v>
      </c>
      <c r="B6" s="257"/>
      <c r="C6" s="169"/>
      <c r="D6" s="170">
        <v>13224</v>
      </c>
      <c r="E6" s="94">
        <v>0.12157205240174672</v>
      </c>
      <c r="F6" s="137">
        <v>1.2746401633565807E-2</v>
      </c>
      <c r="G6" s="106">
        <v>0.05</v>
      </c>
      <c r="H6" s="8"/>
      <c r="I6" s="8"/>
      <c r="J6" s="8"/>
    </row>
    <row r="7" spans="1:16" ht="15" customHeight="1">
      <c r="A7" s="161" t="s">
        <v>104</v>
      </c>
      <c r="B7" s="258"/>
      <c r="C7" s="172"/>
      <c r="D7" s="173">
        <v>76627</v>
      </c>
      <c r="E7" s="96">
        <v>0.70445414847161569</v>
      </c>
      <c r="F7" s="139">
        <v>2.0115472722225376E-2</v>
      </c>
      <c r="G7" s="108">
        <v>0.23</v>
      </c>
      <c r="H7" s="8"/>
      <c r="I7" s="8"/>
      <c r="J7" s="8"/>
    </row>
    <row r="8" spans="1:16" ht="15" customHeight="1">
      <c r="A8" s="162" t="s">
        <v>2</v>
      </c>
      <c r="B8" s="257"/>
      <c r="C8" s="169"/>
      <c r="D8" s="176">
        <v>71861</v>
      </c>
      <c r="E8" s="97">
        <v>0.66063893357848769</v>
      </c>
      <c r="F8" s="140">
        <v>1.6841950124571972E-2</v>
      </c>
      <c r="G8" s="110">
        <v>0.21</v>
      </c>
      <c r="H8" s="8"/>
      <c r="I8" s="8"/>
      <c r="J8" s="8"/>
    </row>
    <row r="9" spans="1:16" ht="15" customHeight="1">
      <c r="A9" s="161"/>
      <c r="B9" s="259" t="s">
        <v>93</v>
      </c>
      <c r="C9" s="179"/>
      <c r="D9" s="180">
        <v>3735</v>
      </c>
      <c r="E9" s="202">
        <v>3.4336934038152148E-2</v>
      </c>
      <c r="F9" s="205">
        <v>1.308695597403621E-2</v>
      </c>
      <c r="G9" s="263">
        <v>0.2</v>
      </c>
      <c r="H9" s="8"/>
      <c r="I9" s="8"/>
      <c r="J9" s="308"/>
    </row>
    <row r="10" spans="1:16" ht="15" customHeight="1">
      <c r="A10" s="162"/>
      <c r="B10" s="260"/>
      <c r="C10" s="183" t="s">
        <v>227</v>
      </c>
      <c r="D10" s="184">
        <v>269</v>
      </c>
      <c r="E10" s="203">
        <v>2.4729947138588831E-3</v>
      </c>
      <c r="F10" s="206">
        <v>1.2181718572947642E-2</v>
      </c>
      <c r="G10" s="264">
        <v>0.3</v>
      </c>
      <c r="H10" s="8"/>
      <c r="I10" s="8"/>
      <c r="J10" s="8"/>
    </row>
    <row r="11" spans="1:16" ht="15" customHeight="1">
      <c r="A11" s="161"/>
      <c r="B11" s="259"/>
      <c r="C11" s="179" t="s">
        <v>228</v>
      </c>
      <c r="D11" s="180">
        <v>90</v>
      </c>
      <c r="E11" s="202">
        <v>8.2739600091932884E-4</v>
      </c>
      <c r="F11" s="205">
        <v>6.1993384196234146E-3</v>
      </c>
      <c r="G11" s="263">
        <v>-0.16</v>
      </c>
      <c r="H11" s="8"/>
      <c r="I11" s="8"/>
      <c r="J11" s="8"/>
    </row>
    <row r="12" spans="1:16" ht="15" customHeight="1">
      <c r="A12" s="162"/>
      <c r="B12" s="260"/>
      <c r="C12" s="183" t="s">
        <v>229</v>
      </c>
      <c r="D12" s="184">
        <v>3376</v>
      </c>
      <c r="E12" s="203">
        <v>3.1036543323373939E-2</v>
      </c>
      <c r="F12" s="206">
        <v>1.3569200837096358E-2</v>
      </c>
      <c r="G12" s="264">
        <v>0.21</v>
      </c>
      <c r="H12" s="8"/>
      <c r="I12" s="8"/>
      <c r="J12" s="8"/>
    </row>
    <row r="13" spans="1:16" ht="15" customHeight="1">
      <c r="A13" s="161"/>
      <c r="B13" s="259" t="s">
        <v>94</v>
      </c>
      <c r="C13" s="179"/>
      <c r="D13" s="180">
        <v>3029</v>
      </c>
      <c r="E13" s="202">
        <v>2.784647207538497E-2</v>
      </c>
      <c r="F13" s="205">
        <v>6.1861682088567805E-3</v>
      </c>
      <c r="G13" s="263">
        <v>-0.03</v>
      </c>
      <c r="H13" s="8"/>
      <c r="I13" s="8"/>
      <c r="J13" s="308"/>
    </row>
    <row r="14" spans="1:16" ht="15" customHeight="1">
      <c r="A14" s="162"/>
      <c r="B14" s="260"/>
      <c r="C14" s="183" t="s">
        <v>230</v>
      </c>
      <c r="D14" s="184">
        <v>575</v>
      </c>
      <c r="E14" s="203">
        <v>5.2861411169846011E-3</v>
      </c>
      <c r="F14" s="206">
        <v>6.703070966772709E-3</v>
      </c>
      <c r="G14" s="264">
        <v>0.06</v>
      </c>
      <c r="H14" s="8"/>
      <c r="I14" s="8"/>
      <c r="J14" s="8"/>
    </row>
    <row r="15" spans="1:16" ht="15" customHeight="1">
      <c r="A15" s="161"/>
      <c r="B15" s="259"/>
      <c r="C15" s="179" t="s">
        <v>231</v>
      </c>
      <c r="D15" s="180">
        <v>337</v>
      </c>
      <c r="E15" s="202">
        <v>3.0981383589979315E-3</v>
      </c>
      <c r="F15" s="205">
        <v>8.1219221903734342E-3</v>
      </c>
      <c r="G15" s="263">
        <v>0.05</v>
      </c>
      <c r="H15" s="8"/>
      <c r="I15" s="8"/>
      <c r="J15" s="8"/>
    </row>
    <row r="16" spans="1:16" ht="15" customHeight="1">
      <c r="A16" s="162"/>
      <c r="B16" s="260"/>
      <c r="C16" s="183" t="s">
        <v>232</v>
      </c>
      <c r="D16" s="184">
        <v>840</v>
      </c>
      <c r="E16" s="203">
        <v>7.72236267524707E-3</v>
      </c>
      <c r="F16" s="206">
        <v>6.2056137968652947E-3</v>
      </c>
      <c r="G16" s="264">
        <v>-0.06</v>
      </c>
      <c r="H16" s="8"/>
      <c r="I16" s="8"/>
      <c r="J16" s="8"/>
    </row>
    <row r="17" spans="1:10" ht="15" customHeight="1">
      <c r="A17" s="161"/>
      <c r="B17" s="259"/>
      <c r="C17" s="179" t="s">
        <v>233</v>
      </c>
      <c r="D17" s="180">
        <v>667</v>
      </c>
      <c r="E17" s="202">
        <v>6.1319236957021375E-3</v>
      </c>
      <c r="F17" s="205">
        <v>5.9152451429788254E-3</v>
      </c>
      <c r="G17" s="263">
        <v>-0.02</v>
      </c>
      <c r="H17" s="8"/>
      <c r="I17" s="8"/>
      <c r="J17" s="8"/>
    </row>
    <row r="18" spans="1:10" ht="15" customHeight="1">
      <c r="A18" s="162"/>
      <c r="B18" s="260"/>
      <c r="C18" s="183" t="s">
        <v>234</v>
      </c>
      <c r="D18" s="184">
        <v>610</v>
      </c>
      <c r="E18" s="203">
        <v>5.6079062284532287E-3</v>
      </c>
      <c r="F18" s="206">
        <v>5.3393679674567703E-3</v>
      </c>
      <c r="G18" s="264">
        <v>-0.11</v>
      </c>
      <c r="H18" s="8"/>
      <c r="I18" s="8"/>
      <c r="J18" s="8"/>
    </row>
    <row r="19" spans="1:10" ht="15" customHeight="1">
      <c r="A19" s="161"/>
      <c r="B19" s="259" t="s">
        <v>95</v>
      </c>
      <c r="C19" s="179"/>
      <c r="D19" s="180">
        <v>7144</v>
      </c>
      <c r="E19" s="202">
        <v>6.5676855895196506E-2</v>
      </c>
      <c r="F19" s="205">
        <v>2.3543288412159129E-2</v>
      </c>
      <c r="G19" s="263">
        <v>0.46</v>
      </c>
      <c r="H19" s="8"/>
      <c r="I19" s="8"/>
      <c r="J19" s="308"/>
    </row>
    <row r="20" spans="1:10" ht="15" customHeight="1">
      <c r="A20" s="162"/>
      <c r="B20" s="260"/>
      <c r="C20" s="183" t="s">
        <v>235</v>
      </c>
      <c r="D20" s="176">
        <v>692</v>
      </c>
      <c r="E20" s="97">
        <v>6.3617559181797286E-3</v>
      </c>
      <c r="F20" s="140">
        <v>2.0244931246022516E-2</v>
      </c>
      <c r="G20" s="110">
        <v>0.19</v>
      </c>
      <c r="H20" s="8"/>
      <c r="I20" s="8"/>
      <c r="J20" s="8"/>
    </row>
    <row r="21" spans="1:10" ht="15" customHeight="1">
      <c r="A21" s="161"/>
      <c r="B21" s="259"/>
      <c r="C21" s="179" t="s">
        <v>236</v>
      </c>
      <c r="D21" s="173">
        <v>2543</v>
      </c>
      <c r="E21" s="96">
        <v>2.3378533670420594E-2</v>
      </c>
      <c r="F21" s="139">
        <v>2.8661402114372733E-2</v>
      </c>
      <c r="G21" s="108">
        <v>0.63</v>
      </c>
      <c r="H21" s="8"/>
      <c r="I21" s="8"/>
      <c r="J21" s="8"/>
    </row>
    <row r="22" spans="1:10" ht="15" customHeight="1">
      <c r="A22" s="162"/>
      <c r="B22" s="260"/>
      <c r="C22" s="183" t="s">
        <v>237</v>
      </c>
      <c r="D22" s="176">
        <v>2975</v>
      </c>
      <c r="E22" s="97">
        <v>2.7350034474833373E-2</v>
      </c>
      <c r="F22" s="140">
        <v>3.6501435800952817E-2</v>
      </c>
      <c r="G22" s="110">
        <v>0.65</v>
      </c>
      <c r="H22" s="8"/>
      <c r="I22" s="8"/>
      <c r="J22" s="8"/>
    </row>
    <row r="23" spans="1:10" ht="15" customHeight="1">
      <c r="A23" s="161"/>
      <c r="B23" s="259"/>
      <c r="C23" s="179" t="s">
        <v>238</v>
      </c>
      <c r="D23" s="173">
        <v>934</v>
      </c>
      <c r="E23" s="96">
        <v>8.5865318317628128E-3</v>
      </c>
      <c r="F23" s="139">
        <v>9.4314465306334517E-3</v>
      </c>
      <c r="G23" s="108">
        <v>0.19</v>
      </c>
      <c r="H23" s="8"/>
      <c r="I23" s="8"/>
      <c r="J23" s="8"/>
    </row>
    <row r="24" spans="1:10" ht="15" customHeight="1">
      <c r="A24" s="162"/>
      <c r="B24" s="260" t="s">
        <v>96</v>
      </c>
      <c r="C24" s="183"/>
      <c r="D24" s="184">
        <v>11171</v>
      </c>
      <c r="E24" s="203">
        <v>0.10269823029188692</v>
      </c>
      <c r="F24" s="206">
        <v>2.9473105595927616E-2</v>
      </c>
      <c r="G24" s="264">
        <v>0.34</v>
      </c>
      <c r="H24" s="8"/>
      <c r="I24" s="8"/>
      <c r="J24" s="8"/>
    </row>
    <row r="25" spans="1:10" ht="15" customHeight="1">
      <c r="A25" s="161"/>
      <c r="B25" s="259"/>
      <c r="C25" s="179" t="s">
        <v>239</v>
      </c>
      <c r="D25" s="173">
        <v>1996</v>
      </c>
      <c r="E25" s="96">
        <v>1.8349804642610892E-2</v>
      </c>
      <c r="F25" s="139">
        <v>4.822451947799429E-2</v>
      </c>
      <c r="G25" s="108">
        <v>0.95</v>
      </c>
      <c r="H25" s="8"/>
      <c r="I25" s="8"/>
      <c r="J25" s="8"/>
    </row>
    <row r="26" spans="1:10" ht="15" customHeight="1">
      <c r="A26" s="162"/>
      <c r="B26" s="260"/>
      <c r="C26" s="183" t="s">
        <v>240</v>
      </c>
      <c r="D26" s="176">
        <v>1612</v>
      </c>
      <c r="E26" s="97">
        <v>1.481958170535509E-2</v>
      </c>
      <c r="F26" s="140">
        <v>2.3166937770594198E-2</v>
      </c>
      <c r="G26" s="110">
        <v>0.22</v>
      </c>
      <c r="H26" s="8"/>
      <c r="I26" s="8"/>
      <c r="J26" s="8"/>
    </row>
    <row r="27" spans="1:10" ht="15" customHeight="1">
      <c r="A27" s="161"/>
      <c r="B27" s="259"/>
      <c r="C27" s="179" t="s">
        <v>241</v>
      </c>
      <c r="D27" s="173">
        <v>3011</v>
      </c>
      <c r="E27" s="96">
        <v>2.7680992875201104E-2</v>
      </c>
      <c r="F27" s="139">
        <v>2.7831206570877457E-2</v>
      </c>
      <c r="G27" s="108">
        <v>0.18</v>
      </c>
      <c r="H27" s="8"/>
      <c r="I27" s="8"/>
      <c r="J27" s="8"/>
    </row>
    <row r="28" spans="1:10" ht="15" customHeight="1">
      <c r="A28" s="162"/>
      <c r="B28" s="260"/>
      <c r="C28" s="183" t="s">
        <v>242</v>
      </c>
      <c r="D28" s="176">
        <v>776</v>
      </c>
      <c r="E28" s="97">
        <v>7.1339921857044358E-3</v>
      </c>
      <c r="F28" s="140">
        <v>1.1808478679665836E-2</v>
      </c>
      <c r="G28" s="110">
        <v>0.15</v>
      </c>
      <c r="H28" s="8"/>
      <c r="I28" s="8"/>
      <c r="J28" s="8"/>
    </row>
    <row r="29" spans="1:10" ht="15" customHeight="1">
      <c r="A29" s="161"/>
      <c r="B29" s="259"/>
      <c r="C29" s="179" t="s">
        <v>243</v>
      </c>
      <c r="D29" s="173">
        <v>3776</v>
      </c>
      <c r="E29" s="96">
        <v>3.4713858883015397E-2</v>
      </c>
      <c r="F29" s="139">
        <v>4.0106870017943302E-2</v>
      </c>
      <c r="G29" s="108">
        <v>0.47</v>
      </c>
      <c r="H29" s="8"/>
      <c r="I29" s="8"/>
      <c r="J29" s="8"/>
    </row>
    <row r="30" spans="1:10" ht="15" customHeight="1">
      <c r="A30" s="162"/>
      <c r="B30" s="260" t="s">
        <v>97</v>
      </c>
      <c r="C30" s="183"/>
      <c r="D30" s="176">
        <v>5256</v>
      </c>
      <c r="E30" s="97">
        <v>4.8319926453688808E-2</v>
      </c>
      <c r="F30" s="140">
        <v>2.7761267071959309E-2</v>
      </c>
      <c r="G30" s="110">
        <v>0.55000000000000004</v>
      </c>
      <c r="H30" s="8"/>
      <c r="I30" s="8"/>
      <c r="J30" s="8"/>
    </row>
    <row r="31" spans="1:10" ht="15" customHeight="1">
      <c r="A31" s="161"/>
      <c r="B31" s="259"/>
      <c r="C31" s="179" t="s">
        <v>244</v>
      </c>
      <c r="D31" s="173">
        <v>777</v>
      </c>
      <c r="E31" s="96">
        <v>7.1431854746035394E-3</v>
      </c>
      <c r="F31" s="139">
        <v>1.7034413316236171E-2</v>
      </c>
      <c r="G31" s="108">
        <v>0.22</v>
      </c>
      <c r="H31" s="8"/>
      <c r="I31" s="8"/>
      <c r="J31" s="8"/>
    </row>
    <row r="32" spans="1:10" ht="15" customHeight="1">
      <c r="A32" s="162"/>
      <c r="B32" s="260"/>
      <c r="C32" s="183" t="s">
        <v>245</v>
      </c>
      <c r="D32" s="184">
        <v>1117</v>
      </c>
      <c r="E32" s="203">
        <v>1.0268903700298782E-2</v>
      </c>
      <c r="F32" s="206">
        <v>2.1339182814207089E-2</v>
      </c>
      <c r="G32" s="264">
        <v>0.4</v>
      </c>
      <c r="H32" s="8"/>
      <c r="I32" s="8"/>
      <c r="J32" s="8"/>
    </row>
    <row r="33" spans="1:10" ht="15" customHeight="1">
      <c r="A33" s="161"/>
      <c r="B33" s="259"/>
      <c r="C33" s="179" t="s">
        <v>246</v>
      </c>
      <c r="D33" s="173">
        <v>3362</v>
      </c>
      <c r="E33" s="96">
        <v>3.0907837278786487E-2</v>
      </c>
      <c r="F33" s="139">
        <v>3.6795460952539209E-2</v>
      </c>
      <c r="G33" s="108">
        <v>0.8</v>
      </c>
      <c r="H33" s="8"/>
      <c r="I33" s="8"/>
      <c r="J33" s="8"/>
    </row>
    <row r="34" spans="1:10" ht="15" customHeight="1">
      <c r="A34" s="162"/>
      <c r="B34" s="260" t="s">
        <v>98</v>
      </c>
      <c r="C34" s="183"/>
      <c r="D34" s="176">
        <v>3091</v>
      </c>
      <c r="E34" s="97">
        <v>2.8416455987129396E-2</v>
      </c>
      <c r="F34" s="140">
        <v>2.0853823632112013E-2</v>
      </c>
      <c r="G34" s="110">
        <v>0.21</v>
      </c>
      <c r="H34" s="8"/>
      <c r="I34" s="8"/>
      <c r="J34" s="8"/>
    </row>
    <row r="35" spans="1:10" ht="15" customHeight="1">
      <c r="A35" s="161"/>
      <c r="B35" s="259"/>
      <c r="C35" s="179" t="s">
        <v>247</v>
      </c>
      <c r="D35" s="173">
        <v>2194</v>
      </c>
      <c r="E35" s="96">
        <v>2.0170075844633418E-2</v>
      </c>
      <c r="F35" s="139">
        <v>3.6085469888760373E-2</v>
      </c>
      <c r="G35" s="108">
        <v>0.28000000000000003</v>
      </c>
      <c r="H35" s="8"/>
      <c r="I35" s="8"/>
      <c r="J35" s="8"/>
    </row>
    <row r="36" spans="1:10" ht="15" customHeight="1">
      <c r="A36" s="162"/>
      <c r="B36" s="260"/>
      <c r="C36" s="183" t="s">
        <v>248</v>
      </c>
      <c r="D36" s="176">
        <v>292</v>
      </c>
      <c r="E36" s="97">
        <v>2.684440358538267E-3</v>
      </c>
      <c r="F36" s="140">
        <v>6.2974135023010254E-3</v>
      </c>
      <c r="G36" s="110">
        <v>0.15</v>
      </c>
      <c r="H36" s="8"/>
      <c r="I36" s="8"/>
      <c r="J36" s="8"/>
    </row>
    <row r="37" spans="1:10" ht="15" customHeight="1">
      <c r="A37" s="161"/>
      <c r="B37" s="259"/>
      <c r="C37" s="179" t="s">
        <v>249</v>
      </c>
      <c r="D37" s="173">
        <v>355</v>
      </c>
      <c r="E37" s="96">
        <v>3.2636175591817971E-3</v>
      </c>
      <c r="F37" s="139">
        <v>2.3219488045785591E-2</v>
      </c>
      <c r="G37" s="108">
        <v>0.02</v>
      </c>
      <c r="H37" s="8"/>
      <c r="I37" s="8"/>
      <c r="J37" s="8"/>
    </row>
    <row r="38" spans="1:10" ht="15" customHeight="1">
      <c r="A38" s="162"/>
      <c r="B38" s="260"/>
      <c r="C38" s="183" t="s">
        <v>250</v>
      </c>
      <c r="D38" s="176">
        <v>250</v>
      </c>
      <c r="E38" s="97">
        <v>2.2983222247759134E-3</v>
      </c>
      <c r="F38" s="140">
        <v>9.7030860461573727E-3</v>
      </c>
      <c r="G38" s="110">
        <v>0.17</v>
      </c>
      <c r="H38" s="8"/>
      <c r="I38" s="8"/>
      <c r="J38" s="8"/>
    </row>
    <row r="39" spans="1:10" ht="15" customHeight="1">
      <c r="A39" s="161"/>
      <c r="B39" s="259" t="s">
        <v>99</v>
      </c>
      <c r="C39" s="179"/>
      <c r="D39" s="173">
        <v>10073</v>
      </c>
      <c r="E39" s="96">
        <v>9.2603999080671115E-2</v>
      </c>
      <c r="F39" s="139">
        <v>2.1944415631178056E-2</v>
      </c>
      <c r="G39" s="108">
        <v>0.3</v>
      </c>
      <c r="H39" s="8"/>
      <c r="I39" s="8"/>
      <c r="J39" s="8"/>
    </row>
    <row r="40" spans="1:10" ht="15" customHeight="1">
      <c r="A40" s="162"/>
      <c r="B40" s="260"/>
      <c r="C40" s="183" t="s">
        <v>251</v>
      </c>
      <c r="D40" s="176">
        <v>2563</v>
      </c>
      <c r="E40" s="97">
        <v>2.3562399448402667E-2</v>
      </c>
      <c r="F40" s="140">
        <v>2.4840204118620302E-2</v>
      </c>
      <c r="G40" s="110">
        <v>0.05</v>
      </c>
      <c r="H40" s="8"/>
      <c r="I40" s="8"/>
      <c r="J40" s="8"/>
    </row>
    <row r="41" spans="1:10" ht="15" customHeight="1">
      <c r="A41" s="161"/>
      <c r="B41" s="259"/>
      <c r="C41" s="179" t="s">
        <v>252</v>
      </c>
      <c r="D41" s="180">
        <v>1962</v>
      </c>
      <c r="E41" s="202">
        <v>1.8037232820041368E-2</v>
      </c>
      <c r="F41" s="205">
        <v>2.1580785465100311E-2</v>
      </c>
      <c r="G41" s="263">
        <v>0.25</v>
      </c>
      <c r="H41" s="8"/>
      <c r="I41" s="8"/>
      <c r="J41" s="8"/>
    </row>
    <row r="42" spans="1:10" ht="15" customHeight="1">
      <c r="A42" s="162"/>
      <c r="B42" s="260"/>
      <c r="C42" s="183" t="s">
        <v>253</v>
      </c>
      <c r="D42" s="176">
        <v>1382</v>
      </c>
      <c r="E42" s="97">
        <v>1.270512525856125E-2</v>
      </c>
      <c r="F42" s="140">
        <v>1.9192534870945445E-2</v>
      </c>
      <c r="G42" s="110">
        <v>0.59</v>
      </c>
      <c r="H42" s="8"/>
      <c r="I42" s="8"/>
      <c r="J42" s="8"/>
    </row>
    <row r="43" spans="1:10" ht="15" customHeight="1">
      <c r="A43" s="161"/>
      <c r="B43" s="259"/>
      <c r="C43" s="179" t="s">
        <v>254</v>
      </c>
      <c r="D43" s="173">
        <v>1206</v>
      </c>
      <c r="E43" s="96">
        <v>1.1087106412319006E-2</v>
      </c>
      <c r="F43" s="139">
        <v>2.0334093215464314E-2</v>
      </c>
      <c r="G43" s="108">
        <v>0.26</v>
      </c>
      <c r="H43" s="8"/>
      <c r="I43" s="8"/>
      <c r="J43" s="8"/>
    </row>
    <row r="44" spans="1:10" ht="15" customHeight="1">
      <c r="A44" s="162"/>
      <c r="B44" s="260"/>
      <c r="C44" s="183" t="s">
        <v>255</v>
      </c>
      <c r="D44" s="176">
        <v>2960</v>
      </c>
      <c r="E44" s="97">
        <v>2.7212135141346818E-2</v>
      </c>
      <c r="F44" s="140">
        <v>2.2153491292913864E-2</v>
      </c>
      <c r="G44" s="110">
        <v>0.38</v>
      </c>
      <c r="H44" s="8"/>
      <c r="I44" s="8"/>
      <c r="J44" s="8"/>
    </row>
    <row r="45" spans="1:10" ht="15" customHeight="1">
      <c r="A45" s="161"/>
      <c r="B45" s="259" t="s">
        <v>100</v>
      </c>
      <c r="C45" s="179"/>
      <c r="D45" s="173">
        <v>19904</v>
      </c>
      <c r="E45" s="96">
        <v>0.18298322224775915</v>
      </c>
      <c r="F45" s="139">
        <v>3.843890079237168E-2</v>
      </c>
      <c r="G45" s="108">
        <v>0.62</v>
      </c>
      <c r="H45" s="8"/>
      <c r="I45" s="8"/>
      <c r="J45" s="8"/>
    </row>
    <row r="46" spans="1:10" ht="15" customHeight="1">
      <c r="A46" s="162"/>
      <c r="B46" s="260"/>
      <c r="C46" s="183" t="s">
        <v>256</v>
      </c>
      <c r="D46" s="176">
        <v>13299</v>
      </c>
      <c r="E46" s="97">
        <v>0.12226154906917949</v>
      </c>
      <c r="F46" s="140">
        <v>4.9893385889659712E-2</v>
      </c>
      <c r="G46" s="110">
        <v>0.93</v>
      </c>
      <c r="H46" s="8"/>
      <c r="I46" s="8"/>
      <c r="J46" s="8"/>
    </row>
    <row r="47" spans="1:10" ht="15" customHeight="1">
      <c r="A47" s="161"/>
      <c r="B47" s="259"/>
      <c r="C47" s="179" t="s">
        <v>257</v>
      </c>
      <c r="D47" s="173">
        <v>2730</v>
      </c>
      <c r="E47" s="96">
        <v>2.5097678694552976E-2</v>
      </c>
      <c r="F47" s="139">
        <v>2.4265234740777863E-2</v>
      </c>
      <c r="G47" s="108">
        <v>0.27</v>
      </c>
      <c r="H47" s="8"/>
      <c r="I47" s="8"/>
      <c r="J47" s="8"/>
    </row>
    <row r="48" spans="1:10" ht="15" customHeight="1">
      <c r="A48" s="162"/>
      <c r="B48" s="260"/>
      <c r="C48" s="183" t="s">
        <v>258</v>
      </c>
      <c r="D48" s="176">
        <v>3875</v>
      </c>
      <c r="E48" s="97">
        <v>3.5623994484026658E-2</v>
      </c>
      <c r="F48" s="140">
        <v>2.7927167811130853E-2</v>
      </c>
      <c r="G48" s="110">
        <v>0.35</v>
      </c>
      <c r="H48" s="8"/>
      <c r="I48" s="8"/>
      <c r="J48" s="8"/>
    </row>
    <row r="49" spans="1:10" ht="15" customHeight="1">
      <c r="A49" s="161"/>
      <c r="B49" s="259" t="s">
        <v>259</v>
      </c>
      <c r="C49" s="179"/>
      <c r="D49" s="173">
        <v>248</v>
      </c>
      <c r="E49" s="96">
        <v>2.2799356469777061E-3</v>
      </c>
      <c r="F49" s="139">
        <v>2.170552500498496E-3</v>
      </c>
      <c r="G49" s="108">
        <v>0.03</v>
      </c>
      <c r="H49" s="8"/>
      <c r="I49" s="8"/>
      <c r="J49" s="8"/>
    </row>
    <row r="50" spans="1:10" ht="15" customHeight="1">
      <c r="A50" s="162"/>
      <c r="B50" s="260" t="s">
        <v>260</v>
      </c>
      <c r="C50" s="183"/>
      <c r="D50" s="176">
        <v>3980</v>
      </c>
      <c r="E50" s="97">
        <v>3.6589289818432541E-2</v>
      </c>
      <c r="F50" s="140">
        <v>1.964978333764919E-2</v>
      </c>
      <c r="G50" s="110">
        <v>0.6</v>
      </c>
      <c r="H50" s="8"/>
      <c r="I50" s="8"/>
      <c r="J50" s="8"/>
    </row>
    <row r="51" spans="1:10" ht="15" customHeight="1">
      <c r="A51" s="161"/>
      <c r="B51" s="259" t="s">
        <v>261</v>
      </c>
      <c r="C51" s="179"/>
      <c r="D51" s="173">
        <v>4230</v>
      </c>
      <c r="E51" s="96">
        <v>3.888761204320846E-2</v>
      </c>
      <c r="F51" s="139">
        <v>3.5905396211033825E-3</v>
      </c>
      <c r="G51" s="108">
        <v>0.02</v>
      </c>
      <c r="H51" s="8"/>
      <c r="I51" s="8"/>
      <c r="J51" s="8"/>
    </row>
    <row r="52" spans="1:10" ht="15" customHeight="1">
      <c r="A52" s="162"/>
      <c r="B52" s="260" t="s">
        <v>105</v>
      </c>
      <c r="C52" s="183"/>
      <c r="D52" s="176">
        <v>5680</v>
      </c>
      <c r="E52" s="97">
        <v>5.2217880946908754E-2</v>
      </c>
      <c r="F52" s="140">
        <v>1.7972215738431874E-2</v>
      </c>
      <c r="G52" s="110">
        <v>0.1</v>
      </c>
      <c r="H52" s="8"/>
      <c r="I52" s="8"/>
      <c r="J52" s="8"/>
    </row>
    <row r="53" spans="1:10" ht="15" customHeight="1">
      <c r="A53" s="161"/>
      <c r="B53" s="259" t="s">
        <v>53</v>
      </c>
      <c r="C53" s="172"/>
      <c r="D53" s="173">
        <v>3605</v>
      </c>
      <c r="E53" s="96">
        <v>3.3141806481268674E-2</v>
      </c>
      <c r="F53" s="139">
        <v>1.7141836275979001E-2</v>
      </c>
      <c r="G53" s="108">
        <v>0.24</v>
      </c>
      <c r="H53" s="8"/>
      <c r="I53" s="8"/>
      <c r="J53" s="8"/>
    </row>
    <row r="54" spans="1:10" ht="15" customHeight="1">
      <c r="A54" s="162"/>
      <c r="B54" s="260" t="s">
        <v>50</v>
      </c>
      <c r="C54" s="169"/>
      <c r="D54" s="176">
        <v>3661</v>
      </c>
      <c r="E54" s="97">
        <v>3.3656630659618478E-2</v>
      </c>
      <c r="F54" s="140">
        <v>1.5166905564065808E-2</v>
      </c>
      <c r="G54" s="110">
        <v>-0.12</v>
      </c>
      <c r="H54" s="8"/>
      <c r="I54" s="8"/>
      <c r="J54" s="8"/>
    </row>
    <row r="55" spans="1:10" ht="15" customHeight="1">
      <c r="A55" s="163" t="s">
        <v>55</v>
      </c>
      <c r="B55" s="261"/>
      <c r="C55" s="187"/>
      <c r="D55" s="188">
        <v>10744</v>
      </c>
      <c r="E55" s="130">
        <v>9.8772695931969662E-2</v>
      </c>
      <c r="F55" s="141">
        <v>3.0141517088589031E-3</v>
      </c>
      <c r="G55" s="152">
        <v>0</v>
      </c>
      <c r="H55" s="8"/>
      <c r="I55" s="8"/>
      <c r="J55" s="8"/>
    </row>
    <row r="56" spans="1:10">
      <c r="A56" s="44"/>
      <c r="B56" s="44"/>
      <c r="C56" s="44"/>
      <c r="D56" s="44"/>
      <c r="E56" s="44"/>
      <c r="F56" s="44"/>
      <c r="G56" s="51"/>
      <c r="H56" s="52"/>
      <c r="I56" s="41"/>
      <c r="J56" s="41"/>
    </row>
    <row r="57" spans="1:10" s="72" customFormat="1" ht="11.25">
      <c r="A57" s="70" t="s">
        <v>143</v>
      </c>
      <c r="B57" s="70"/>
      <c r="C57" s="70"/>
      <c r="D57" s="70"/>
      <c r="E57" s="70"/>
      <c r="F57" s="70"/>
      <c r="G57" s="73"/>
      <c r="H57" s="74"/>
      <c r="I57" s="75"/>
      <c r="J57" s="75"/>
    </row>
    <row r="58" spans="1:10" s="72" customFormat="1" ht="11.25">
      <c r="A58" s="70"/>
      <c r="B58" s="70"/>
      <c r="C58" s="70"/>
      <c r="D58" s="70"/>
      <c r="E58" s="70"/>
      <c r="F58" s="70"/>
      <c r="G58" s="73"/>
      <c r="H58" s="74"/>
      <c r="I58" s="75"/>
      <c r="J58" s="75"/>
    </row>
    <row r="59" spans="1:10" s="72" customFormat="1" ht="11.25">
      <c r="A59" s="70" t="s">
        <v>129</v>
      </c>
      <c r="B59" s="70" t="s">
        <v>142</v>
      </c>
      <c r="C59" s="70"/>
      <c r="D59" s="70"/>
      <c r="E59" s="70"/>
      <c r="F59" s="70"/>
      <c r="G59" s="73"/>
      <c r="H59" s="76"/>
      <c r="I59" s="39"/>
      <c r="J59" s="39"/>
    </row>
    <row r="60" spans="1:10" s="72" customFormat="1" ht="11.25">
      <c r="A60" s="70"/>
      <c r="B60" s="70" t="s">
        <v>66</v>
      </c>
      <c r="C60" s="70"/>
      <c r="D60" s="70"/>
      <c r="E60" s="70"/>
      <c r="F60" s="70"/>
      <c r="G60" s="73"/>
      <c r="H60" s="76"/>
      <c r="I60" s="39"/>
      <c r="J60" s="39"/>
    </row>
    <row r="61" spans="1:10" s="72" customFormat="1" ht="11.25">
      <c r="A61" s="70"/>
      <c r="B61" s="70" t="s">
        <v>67</v>
      </c>
      <c r="C61" s="70"/>
      <c r="D61" s="70"/>
      <c r="E61" s="70"/>
      <c r="F61" s="70"/>
      <c r="G61" s="73"/>
      <c r="H61" s="76"/>
      <c r="I61" s="39"/>
      <c r="J61" s="39"/>
    </row>
    <row r="62" spans="1:10" s="72" customFormat="1" ht="11.25">
      <c r="A62" s="70"/>
      <c r="B62" s="70" t="s">
        <v>74</v>
      </c>
      <c r="C62" s="70"/>
      <c r="D62" s="70"/>
      <c r="E62" s="70"/>
      <c r="F62" s="70"/>
      <c r="G62" s="73"/>
      <c r="H62" s="76"/>
      <c r="I62" s="39"/>
      <c r="J62" s="39"/>
    </row>
    <row r="63" spans="1:10" s="72" customFormat="1" ht="11.25">
      <c r="A63" s="70"/>
      <c r="B63" s="70" t="s">
        <v>68</v>
      </c>
      <c r="C63" s="70"/>
      <c r="D63" s="70"/>
      <c r="E63" s="70"/>
      <c r="F63" s="70"/>
      <c r="G63" s="73"/>
      <c r="H63" s="76"/>
      <c r="I63" s="39"/>
      <c r="J63" s="39"/>
    </row>
    <row r="64" spans="1:10" s="72" customFormat="1" ht="11.25">
      <c r="A64" s="70"/>
      <c r="B64" s="70" t="s">
        <v>69</v>
      </c>
      <c r="C64" s="70"/>
      <c r="D64" s="70"/>
      <c r="E64" s="70"/>
      <c r="F64" s="70"/>
      <c r="G64" s="73"/>
      <c r="H64" s="76"/>
      <c r="I64" s="39"/>
      <c r="J64" s="39"/>
    </row>
    <row r="65" spans="1:10" s="72" customFormat="1" ht="11.25">
      <c r="A65" s="70"/>
      <c r="B65" s="70" t="s">
        <v>70</v>
      </c>
      <c r="C65" s="70"/>
      <c r="D65" s="70"/>
      <c r="E65" s="70"/>
      <c r="F65" s="70"/>
      <c r="G65" s="73"/>
      <c r="H65" s="76"/>
      <c r="I65" s="39"/>
      <c r="J65" s="39"/>
    </row>
    <row r="66" spans="1:10" s="72" customFormat="1" ht="11.25">
      <c r="A66" s="70"/>
      <c r="B66" s="70" t="s">
        <v>71</v>
      </c>
      <c r="C66" s="70"/>
      <c r="D66" s="70"/>
      <c r="E66" s="70"/>
      <c r="F66" s="70"/>
      <c r="G66" s="73"/>
      <c r="H66" s="76"/>
      <c r="I66" s="39"/>
      <c r="J66" s="39"/>
    </row>
    <row r="67" spans="1:10" s="72" customFormat="1" ht="11.25">
      <c r="A67" s="70"/>
      <c r="B67" s="70" t="s">
        <v>72</v>
      </c>
      <c r="C67" s="70"/>
      <c r="D67" s="70"/>
      <c r="E67" s="70"/>
      <c r="F67" s="70"/>
      <c r="G67" s="73"/>
      <c r="H67" s="76"/>
      <c r="I67" s="39"/>
      <c r="J67" s="39"/>
    </row>
    <row r="68" spans="1:10" s="72" customFormat="1" ht="11.25">
      <c r="A68" s="70"/>
      <c r="B68" s="70"/>
      <c r="C68" s="70"/>
      <c r="D68" s="70"/>
      <c r="E68" s="70"/>
      <c r="F68" s="70"/>
      <c r="G68" s="73"/>
      <c r="H68" s="76"/>
      <c r="I68" s="39"/>
      <c r="J68" s="39"/>
    </row>
    <row r="69" spans="1:10" s="72" customFormat="1" ht="11.25">
      <c r="A69" s="70"/>
      <c r="B69" s="70"/>
      <c r="C69" s="70"/>
      <c r="D69" s="70"/>
      <c r="E69" s="70"/>
      <c r="F69" s="70"/>
      <c r="G69" s="73"/>
      <c r="H69" s="76"/>
      <c r="I69" s="39"/>
      <c r="J69" s="39"/>
    </row>
    <row r="70" spans="1:10" s="72" customFormat="1" ht="11.25">
      <c r="A70" s="70"/>
      <c r="B70" s="70"/>
      <c r="C70" s="70"/>
      <c r="D70" s="70"/>
      <c r="E70" s="70"/>
      <c r="F70" s="70"/>
      <c r="G70" s="73"/>
      <c r="H70" s="76"/>
      <c r="I70" s="39"/>
      <c r="J70" s="39"/>
    </row>
    <row r="71" spans="1:10">
      <c r="A71" s="44"/>
      <c r="B71" s="44"/>
      <c r="C71" s="44"/>
      <c r="D71" s="44"/>
      <c r="E71" s="44"/>
      <c r="F71" s="44"/>
      <c r="G71" s="53"/>
      <c r="H71" s="8"/>
      <c r="I71" s="8"/>
      <c r="J71" s="8"/>
    </row>
  </sheetData>
  <mergeCells count="3">
    <mergeCell ref="A2:G2"/>
    <mergeCell ref="A1:G1"/>
    <mergeCell ref="A5:C5"/>
  </mergeCells>
  <hyperlinks>
    <hyperlink ref="J1" location="INDICE!Área_de_impresión" display="INDICE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/>
  <dimension ref="A1:R81"/>
  <sheetViews>
    <sheetView showGridLines="0" zoomScale="90" zoomScaleNormal="90" workbookViewId="0">
      <selection activeCell="K12" sqref="K12"/>
    </sheetView>
  </sheetViews>
  <sheetFormatPr baseColWidth="10" defaultRowHeight="12.75"/>
  <cols>
    <col min="1" max="1" width="22.140625" style="8" customWidth="1"/>
    <col min="2" max="2" width="26.140625" style="8" customWidth="1"/>
    <col min="3" max="3" width="23" style="8" bestFit="1" customWidth="1"/>
    <col min="4" max="14" width="13.7109375" style="8" customWidth="1"/>
    <col min="15" max="16" width="13.7109375" style="14" customWidth="1"/>
    <col min="17" max="17" width="1.7109375" style="2" customWidth="1"/>
    <col min="18" max="18" width="13.7109375" style="2" customWidth="1"/>
    <col min="19" max="16384" width="11.42578125" style="8"/>
  </cols>
  <sheetData>
    <row r="1" spans="1:18" s="30" customFormat="1" ht="30" customHeight="1">
      <c r="A1" s="346" t="s">
        <v>54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8"/>
      <c r="R1" s="31" t="s">
        <v>134</v>
      </c>
    </row>
    <row r="2" spans="1:18" ht="30" customHeight="1">
      <c r="A2" s="328" t="s">
        <v>262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"/>
      <c r="P2" s="34"/>
      <c r="Q2" s="19"/>
    </row>
    <row r="3" spans="1:18" ht="8.1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  <c r="P3" s="45"/>
      <c r="Q3" s="40"/>
    </row>
    <row r="4" spans="1:18" ht="15" customHeight="1">
      <c r="A4" s="384" t="s">
        <v>224</v>
      </c>
      <c r="B4" s="384" t="s">
        <v>225</v>
      </c>
      <c r="C4" s="387" t="s">
        <v>226</v>
      </c>
      <c r="D4" s="311" t="s">
        <v>284</v>
      </c>
      <c r="E4" s="312"/>
      <c r="F4" s="312"/>
      <c r="G4" s="312"/>
      <c r="H4" s="312"/>
      <c r="I4" s="312"/>
      <c r="J4" s="312"/>
      <c r="K4" s="312"/>
      <c r="L4" s="312"/>
      <c r="M4" s="313"/>
      <c r="N4" s="317" t="s">
        <v>285</v>
      </c>
      <c r="O4" s="287" t="s">
        <v>146</v>
      </c>
      <c r="P4" s="288" t="s">
        <v>146</v>
      </c>
      <c r="Q4" s="8"/>
      <c r="R4" s="8"/>
    </row>
    <row r="5" spans="1:18" ht="15" customHeight="1">
      <c r="A5" s="385"/>
      <c r="B5" s="385"/>
      <c r="C5" s="373"/>
      <c r="D5" s="314"/>
      <c r="E5" s="315"/>
      <c r="F5" s="315"/>
      <c r="G5" s="315"/>
      <c r="H5" s="315"/>
      <c r="I5" s="315"/>
      <c r="J5" s="315"/>
      <c r="K5" s="315"/>
      <c r="L5" s="315"/>
      <c r="M5" s="316"/>
      <c r="N5" s="318"/>
      <c r="O5" s="285" t="s">
        <v>286</v>
      </c>
      <c r="P5" s="295" t="s">
        <v>287</v>
      </c>
      <c r="Q5" s="8"/>
      <c r="R5" s="8"/>
    </row>
    <row r="6" spans="1:18" ht="15" customHeight="1">
      <c r="A6" s="386"/>
      <c r="B6" s="386"/>
      <c r="C6" s="374"/>
      <c r="D6" s="298">
        <v>2015</v>
      </c>
      <c r="E6" s="80">
        <v>2016</v>
      </c>
      <c r="F6" s="79">
        <v>2017</v>
      </c>
      <c r="G6" s="80">
        <v>2018</v>
      </c>
      <c r="H6" s="79">
        <v>2019</v>
      </c>
      <c r="I6" s="80">
        <v>2020</v>
      </c>
      <c r="J6" s="79">
        <v>2021</v>
      </c>
      <c r="K6" s="80">
        <v>2022</v>
      </c>
      <c r="L6" s="79">
        <v>2023</v>
      </c>
      <c r="M6" s="80">
        <v>2024</v>
      </c>
      <c r="N6" s="289" t="s">
        <v>76</v>
      </c>
      <c r="O6" s="289" t="s">
        <v>76</v>
      </c>
      <c r="P6" s="290" t="s">
        <v>76</v>
      </c>
      <c r="Q6" s="8"/>
      <c r="R6" s="8"/>
    </row>
    <row r="7" spans="1:18" s="5" customFormat="1" ht="15" customHeight="1">
      <c r="A7" s="349" t="s">
        <v>0</v>
      </c>
      <c r="B7" s="383"/>
      <c r="C7" s="256"/>
      <c r="D7" s="266">
        <v>66872</v>
      </c>
      <c r="E7" s="266">
        <v>69988</v>
      </c>
      <c r="F7" s="266">
        <v>68320</v>
      </c>
      <c r="G7" s="266">
        <v>68736</v>
      </c>
      <c r="H7" s="266">
        <v>74237</v>
      </c>
      <c r="I7" s="266">
        <v>54257</v>
      </c>
      <c r="J7" s="266">
        <v>65867</v>
      </c>
      <c r="K7" s="266">
        <v>83572</v>
      </c>
      <c r="L7" s="266">
        <v>104051</v>
      </c>
      <c r="M7" s="266">
        <v>108775</v>
      </c>
      <c r="N7" s="244">
        <v>1</v>
      </c>
      <c r="O7" s="201">
        <v>4.5400813062824952E-2</v>
      </c>
      <c r="P7" s="201">
        <v>0.62661502572078009</v>
      </c>
    </row>
    <row r="8" spans="1:18" ht="15" customHeight="1">
      <c r="A8" s="160" t="s">
        <v>141</v>
      </c>
      <c r="B8" s="257"/>
      <c r="C8" s="169"/>
      <c r="D8" s="114">
        <v>8927</v>
      </c>
      <c r="E8" s="114">
        <v>10131</v>
      </c>
      <c r="F8" s="114">
        <v>10255</v>
      </c>
      <c r="G8" s="114">
        <v>10155</v>
      </c>
      <c r="H8" s="114">
        <v>9009</v>
      </c>
      <c r="I8" s="114">
        <v>5713</v>
      </c>
      <c r="J8" s="114">
        <v>7765</v>
      </c>
      <c r="K8" s="114">
        <v>10831</v>
      </c>
      <c r="L8" s="114">
        <v>12781</v>
      </c>
      <c r="M8" s="114">
        <v>13224</v>
      </c>
      <c r="N8" s="94">
        <v>0.12157205240174672</v>
      </c>
      <c r="O8" s="94">
        <v>3.4660824661607137E-2</v>
      </c>
      <c r="P8" s="94">
        <v>0.48134871737425788</v>
      </c>
      <c r="Q8" s="8"/>
      <c r="R8" s="8"/>
    </row>
    <row r="9" spans="1:18" ht="15" customHeight="1">
      <c r="A9" s="161" t="s">
        <v>104</v>
      </c>
      <c r="B9" s="258"/>
      <c r="C9" s="172"/>
      <c r="D9" s="116">
        <v>48369</v>
      </c>
      <c r="E9" s="116">
        <v>50603</v>
      </c>
      <c r="F9" s="116">
        <v>51067</v>
      </c>
      <c r="G9" s="116">
        <v>51012</v>
      </c>
      <c r="H9" s="116">
        <v>53967</v>
      </c>
      <c r="I9" s="116">
        <v>38200</v>
      </c>
      <c r="J9" s="116">
        <v>47482</v>
      </c>
      <c r="K9" s="116">
        <v>60083</v>
      </c>
      <c r="L9" s="116">
        <v>73333</v>
      </c>
      <c r="M9" s="116">
        <v>76627</v>
      </c>
      <c r="N9" s="96">
        <v>0.70445414847161569</v>
      </c>
      <c r="O9" s="96">
        <v>4.4918385992663623E-2</v>
      </c>
      <c r="P9" s="96">
        <v>0.58421716388596012</v>
      </c>
      <c r="Q9" s="8"/>
      <c r="R9" s="8"/>
    </row>
    <row r="10" spans="1:18" ht="15" customHeight="1">
      <c r="A10" s="162" t="s">
        <v>2</v>
      </c>
      <c r="B10" s="257"/>
      <c r="C10" s="169"/>
      <c r="D10" s="118">
        <v>43794</v>
      </c>
      <c r="E10" s="118">
        <v>44330</v>
      </c>
      <c r="F10" s="118">
        <v>44707</v>
      </c>
      <c r="G10" s="118">
        <v>45011</v>
      </c>
      <c r="H10" s="118">
        <v>49665</v>
      </c>
      <c r="I10" s="118">
        <v>36144</v>
      </c>
      <c r="J10" s="118">
        <v>43964</v>
      </c>
      <c r="K10" s="118">
        <v>54493</v>
      </c>
      <c r="L10" s="118">
        <v>67650</v>
      </c>
      <c r="M10" s="118">
        <v>71861</v>
      </c>
      <c r="N10" s="97">
        <v>0.66063893357848769</v>
      </c>
      <c r="O10" s="97">
        <v>6.2246858832224694E-2</v>
      </c>
      <c r="P10" s="97">
        <v>0.64088687948120748</v>
      </c>
      <c r="Q10" s="8"/>
      <c r="R10" s="8"/>
    </row>
    <row r="11" spans="1:18" ht="15" customHeight="1">
      <c r="A11" s="161"/>
      <c r="B11" s="259" t="s">
        <v>93</v>
      </c>
      <c r="C11" s="179"/>
      <c r="D11" s="116">
        <v>1772</v>
      </c>
      <c r="E11" s="116">
        <v>1867</v>
      </c>
      <c r="F11" s="116">
        <v>1923</v>
      </c>
      <c r="G11" s="116">
        <v>1925</v>
      </c>
      <c r="H11" s="116">
        <v>2446</v>
      </c>
      <c r="I11" s="116">
        <v>1831</v>
      </c>
      <c r="J11" s="116">
        <v>2145</v>
      </c>
      <c r="K11" s="116">
        <v>2968</v>
      </c>
      <c r="L11" s="116">
        <v>3683</v>
      </c>
      <c r="M11" s="116">
        <v>3735</v>
      </c>
      <c r="N11" s="96">
        <v>3.4336934038152148E-2</v>
      </c>
      <c r="O11" s="96">
        <v>1.4118924789573661E-2</v>
      </c>
      <c r="P11" s="96">
        <v>1.1077878103837473</v>
      </c>
      <c r="Q11" s="8"/>
      <c r="R11" s="8"/>
    </row>
    <row r="12" spans="1:18" ht="15" customHeight="1">
      <c r="A12" s="162"/>
      <c r="B12" s="260"/>
      <c r="C12" s="183" t="s">
        <v>227</v>
      </c>
      <c r="D12" s="268">
        <v>85</v>
      </c>
      <c r="E12" s="268">
        <v>104</v>
      </c>
      <c r="F12" s="268">
        <v>97</v>
      </c>
      <c r="G12" s="268">
        <v>95</v>
      </c>
      <c r="H12" s="268">
        <v>144</v>
      </c>
      <c r="I12" s="268">
        <v>87</v>
      </c>
      <c r="J12" s="268">
        <v>128</v>
      </c>
      <c r="K12" s="268">
        <v>189</v>
      </c>
      <c r="L12" s="268">
        <v>226</v>
      </c>
      <c r="M12" s="268">
        <v>269</v>
      </c>
      <c r="N12" s="203">
        <v>2.4729947138588831E-3</v>
      </c>
      <c r="O12" s="203">
        <v>0.19026548672566368</v>
      </c>
      <c r="P12" s="203">
        <v>2.164705882352941</v>
      </c>
      <c r="Q12" s="8"/>
      <c r="R12" s="8"/>
    </row>
    <row r="13" spans="1:18" ht="15" customHeight="1">
      <c r="A13" s="161"/>
      <c r="B13" s="259"/>
      <c r="C13" s="179" t="s">
        <v>228</v>
      </c>
      <c r="D13" s="267">
        <v>51</v>
      </c>
      <c r="E13" s="267">
        <v>56</v>
      </c>
      <c r="F13" s="267">
        <v>61</v>
      </c>
      <c r="G13" s="267">
        <v>56</v>
      </c>
      <c r="H13" s="267">
        <v>65</v>
      </c>
      <c r="I13" s="267">
        <v>49</v>
      </c>
      <c r="J13" s="267">
        <v>49</v>
      </c>
      <c r="K13" s="267">
        <v>86</v>
      </c>
      <c r="L13" s="267">
        <v>116</v>
      </c>
      <c r="M13" s="267">
        <v>90</v>
      </c>
      <c r="N13" s="202">
        <v>8.2739600091932884E-4</v>
      </c>
      <c r="O13" s="202">
        <v>-0.22413793103448276</v>
      </c>
      <c r="P13" s="202">
        <v>0.76470588235294112</v>
      </c>
      <c r="Q13" s="8"/>
      <c r="R13" s="8"/>
    </row>
    <row r="14" spans="1:18" ht="15" customHeight="1">
      <c r="A14" s="162"/>
      <c r="B14" s="260"/>
      <c r="C14" s="183" t="s">
        <v>229</v>
      </c>
      <c r="D14" s="268">
        <v>1636</v>
      </c>
      <c r="E14" s="268">
        <v>1707</v>
      </c>
      <c r="F14" s="268">
        <v>1765</v>
      </c>
      <c r="G14" s="268">
        <v>1774</v>
      </c>
      <c r="H14" s="268">
        <v>2237</v>
      </c>
      <c r="I14" s="268">
        <v>1695</v>
      </c>
      <c r="J14" s="268">
        <v>1968</v>
      </c>
      <c r="K14" s="268">
        <v>2693</v>
      </c>
      <c r="L14" s="268">
        <v>3341</v>
      </c>
      <c r="M14" s="268">
        <v>3376</v>
      </c>
      <c r="N14" s="203">
        <v>3.1036543323373939E-2</v>
      </c>
      <c r="O14" s="203">
        <v>1.0475905417539622E-2</v>
      </c>
      <c r="P14" s="203">
        <v>1.0635696821515892</v>
      </c>
      <c r="Q14" s="8"/>
      <c r="R14" s="8"/>
    </row>
    <row r="15" spans="1:18" ht="15" customHeight="1">
      <c r="A15" s="161"/>
      <c r="B15" s="259" t="s">
        <v>94</v>
      </c>
      <c r="C15" s="179"/>
      <c r="D15" s="116">
        <v>3314</v>
      </c>
      <c r="E15" s="116">
        <v>3362</v>
      </c>
      <c r="F15" s="116">
        <v>3741</v>
      </c>
      <c r="G15" s="116">
        <v>3076</v>
      </c>
      <c r="H15" s="116">
        <v>3322</v>
      </c>
      <c r="I15" s="116">
        <v>2021</v>
      </c>
      <c r="J15" s="116">
        <v>2341</v>
      </c>
      <c r="K15" s="116">
        <v>3015</v>
      </c>
      <c r="L15" s="116">
        <v>3277</v>
      </c>
      <c r="M15" s="116">
        <v>3029</v>
      </c>
      <c r="N15" s="96">
        <v>2.784647207538497E-2</v>
      </c>
      <c r="O15" s="96">
        <v>-7.5678974671956056E-2</v>
      </c>
      <c r="P15" s="96">
        <v>-8.5998792999396501E-2</v>
      </c>
      <c r="Q15" s="8"/>
      <c r="R15" s="8"/>
    </row>
    <row r="16" spans="1:18" ht="15" customHeight="1">
      <c r="A16" s="162"/>
      <c r="B16" s="260"/>
      <c r="C16" s="183" t="s">
        <v>230</v>
      </c>
      <c r="D16" s="268">
        <v>522</v>
      </c>
      <c r="E16" s="268">
        <v>543</v>
      </c>
      <c r="F16" s="268">
        <v>854</v>
      </c>
      <c r="G16" s="268">
        <v>456</v>
      </c>
      <c r="H16" s="268">
        <v>487</v>
      </c>
      <c r="I16" s="268">
        <v>332</v>
      </c>
      <c r="J16" s="268">
        <v>455</v>
      </c>
      <c r="K16" s="268">
        <v>510</v>
      </c>
      <c r="L16" s="268">
        <v>598</v>
      </c>
      <c r="M16" s="268">
        <v>575</v>
      </c>
      <c r="N16" s="203">
        <v>5.2861411169846011E-3</v>
      </c>
      <c r="O16" s="203">
        <v>-3.8461538461538436E-2</v>
      </c>
      <c r="P16" s="203">
        <v>0.1015325670498084</v>
      </c>
      <c r="Q16" s="8"/>
      <c r="R16" s="8"/>
    </row>
    <row r="17" spans="1:18" ht="15" customHeight="1">
      <c r="A17" s="161"/>
      <c r="B17" s="259"/>
      <c r="C17" s="179" t="s">
        <v>231</v>
      </c>
      <c r="D17" s="267">
        <v>274</v>
      </c>
      <c r="E17" s="267">
        <v>324</v>
      </c>
      <c r="F17" s="267">
        <v>360</v>
      </c>
      <c r="G17" s="267">
        <v>320</v>
      </c>
      <c r="H17" s="267">
        <v>358</v>
      </c>
      <c r="I17" s="267">
        <v>200</v>
      </c>
      <c r="J17" s="267">
        <v>209</v>
      </c>
      <c r="K17" s="267">
        <v>312</v>
      </c>
      <c r="L17" s="267">
        <v>319</v>
      </c>
      <c r="M17" s="267">
        <v>337</v>
      </c>
      <c r="N17" s="202">
        <v>3.0981383589979315E-3</v>
      </c>
      <c r="O17" s="202">
        <v>5.6426332288401326E-2</v>
      </c>
      <c r="P17" s="202">
        <v>0.22992700729927007</v>
      </c>
      <c r="Q17" s="8"/>
      <c r="R17" s="8"/>
    </row>
    <row r="18" spans="1:18" ht="15" customHeight="1">
      <c r="A18" s="162"/>
      <c r="B18" s="260"/>
      <c r="C18" s="183" t="s">
        <v>232</v>
      </c>
      <c r="D18" s="268">
        <v>669</v>
      </c>
      <c r="E18" s="268">
        <v>694</v>
      </c>
      <c r="F18" s="268">
        <v>866</v>
      </c>
      <c r="G18" s="268">
        <v>731</v>
      </c>
      <c r="H18" s="268">
        <v>804</v>
      </c>
      <c r="I18" s="268">
        <v>521</v>
      </c>
      <c r="J18" s="268">
        <v>550</v>
      </c>
      <c r="K18" s="268">
        <v>736</v>
      </c>
      <c r="L18" s="268">
        <v>929</v>
      </c>
      <c r="M18" s="268">
        <v>840</v>
      </c>
      <c r="N18" s="203">
        <v>7.72236267524707E-3</v>
      </c>
      <c r="O18" s="203">
        <v>-9.5801937567276618E-2</v>
      </c>
      <c r="P18" s="203">
        <v>0.25560538116591935</v>
      </c>
      <c r="Q18" s="8"/>
      <c r="R18" s="8"/>
    </row>
    <row r="19" spans="1:18" ht="15" customHeight="1">
      <c r="A19" s="161"/>
      <c r="B19" s="259"/>
      <c r="C19" s="179" t="s">
        <v>233</v>
      </c>
      <c r="D19" s="267">
        <v>666</v>
      </c>
      <c r="E19" s="267">
        <v>742</v>
      </c>
      <c r="F19" s="267">
        <v>672</v>
      </c>
      <c r="G19" s="267">
        <v>592</v>
      </c>
      <c r="H19" s="267">
        <v>597</v>
      </c>
      <c r="I19" s="267">
        <v>421</v>
      </c>
      <c r="J19" s="267">
        <v>464</v>
      </c>
      <c r="K19" s="267">
        <v>584</v>
      </c>
      <c r="L19" s="267">
        <v>706</v>
      </c>
      <c r="M19" s="267">
        <v>667</v>
      </c>
      <c r="N19" s="202">
        <v>6.1319236957021375E-3</v>
      </c>
      <c r="O19" s="202">
        <v>-5.5240793201133176E-2</v>
      </c>
      <c r="P19" s="202">
        <v>1.5015015015014122E-3</v>
      </c>
      <c r="Q19" s="8"/>
      <c r="R19" s="8"/>
    </row>
    <row r="20" spans="1:18" ht="15" customHeight="1">
      <c r="A20" s="162"/>
      <c r="B20" s="260"/>
      <c r="C20" s="183" t="s">
        <v>234</v>
      </c>
      <c r="D20" s="268">
        <v>1183</v>
      </c>
      <c r="E20" s="268">
        <v>1059</v>
      </c>
      <c r="F20" s="268">
        <v>989</v>
      </c>
      <c r="G20" s="268">
        <v>977</v>
      </c>
      <c r="H20" s="268">
        <v>1076</v>
      </c>
      <c r="I20" s="268">
        <v>547</v>
      </c>
      <c r="J20" s="268">
        <v>663</v>
      </c>
      <c r="K20" s="268">
        <v>873</v>
      </c>
      <c r="L20" s="268">
        <v>725</v>
      </c>
      <c r="M20" s="268">
        <v>610</v>
      </c>
      <c r="N20" s="203">
        <v>5.6079062284532287E-3</v>
      </c>
      <c r="O20" s="203">
        <v>-0.1586206896551724</v>
      </c>
      <c r="P20" s="203">
        <v>-0.48436179205409979</v>
      </c>
      <c r="Q20" s="8"/>
      <c r="R20" s="8"/>
    </row>
    <row r="21" spans="1:18" ht="15" customHeight="1">
      <c r="A21" s="161"/>
      <c r="B21" s="259" t="s">
        <v>95</v>
      </c>
      <c r="C21" s="179"/>
      <c r="D21" s="116">
        <v>3844</v>
      </c>
      <c r="E21" s="116">
        <v>4426</v>
      </c>
      <c r="F21" s="116">
        <v>4073</v>
      </c>
      <c r="G21" s="116">
        <v>4304</v>
      </c>
      <c r="H21" s="116">
        <v>4709</v>
      </c>
      <c r="I21" s="116">
        <v>3390</v>
      </c>
      <c r="J21" s="116">
        <v>4201</v>
      </c>
      <c r="K21" s="116">
        <v>4785</v>
      </c>
      <c r="L21" s="116">
        <v>6446</v>
      </c>
      <c r="M21" s="116">
        <v>7144</v>
      </c>
      <c r="N21" s="96">
        <v>6.5676855895196506E-2</v>
      </c>
      <c r="O21" s="96">
        <v>0.10828420726031651</v>
      </c>
      <c r="P21" s="96">
        <v>0.85848074921956297</v>
      </c>
      <c r="Q21" s="8"/>
      <c r="R21" s="8"/>
    </row>
    <row r="22" spans="1:18" ht="15" customHeight="1">
      <c r="A22" s="162"/>
      <c r="B22" s="260"/>
      <c r="C22" s="183" t="s">
        <v>235</v>
      </c>
      <c r="D22" s="268">
        <v>212</v>
      </c>
      <c r="E22" s="268">
        <v>297</v>
      </c>
      <c r="F22" s="268">
        <v>281</v>
      </c>
      <c r="G22" s="268">
        <v>261</v>
      </c>
      <c r="H22" s="268">
        <v>357</v>
      </c>
      <c r="I22" s="268">
        <v>295</v>
      </c>
      <c r="J22" s="268">
        <v>365</v>
      </c>
      <c r="K22" s="268">
        <v>438</v>
      </c>
      <c r="L22" s="268">
        <v>658</v>
      </c>
      <c r="M22" s="268">
        <v>692</v>
      </c>
      <c r="N22" s="203">
        <v>6.3617559181797286E-3</v>
      </c>
      <c r="O22" s="203">
        <v>5.1671732522796443E-2</v>
      </c>
      <c r="P22" s="203">
        <v>2.2641509433962264</v>
      </c>
      <c r="Q22" s="8"/>
      <c r="R22" s="8"/>
    </row>
    <row r="23" spans="1:18" ht="15" customHeight="1">
      <c r="A23" s="161"/>
      <c r="B23" s="259"/>
      <c r="C23" s="179" t="s">
        <v>236</v>
      </c>
      <c r="D23" s="267">
        <v>1280</v>
      </c>
      <c r="E23" s="267">
        <v>1590</v>
      </c>
      <c r="F23" s="267">
        <v>1307</v>
      </c>
      <c r="G23" s="267">
        <v>1483</v>
      </c>
      <c r="H23" s="267">
        <v>1788</v>
      </c>
      <c r="I23" s="267">
        <v>1123</v>
      </c>
      <c r="J23" s="267">
        <v>1383</v>
      </c>
      <c r="K23" s="267">
        <v>1632</v>
      </c>
      <c r="L23" s="267">
        <v>2160</v>
      </c>
      <c r="M23" s="267">
        <v>2543</v>
      </c>
      <c r="N23" s="202">
        <v>2.3378533670420594E-2</v>
      </c>
      <c r="O23" s="202">
        <v>0.17731481481481493</v>
      </c>
      <c r="P23" s="202">
        <v>0.98671875000000009</v>
      </c>
      <c r="Q23" s="8"/>
      <c r="R23" s="8"/>
    </row>
    <row r="24" spans="1:18" ht="15" customHeight="1">
      <c r="A24" s="162"/>
      <c r="B24" s="260"/>
      <c r="C24" s="183" t="s">
        <v>237</v>
      </c>
      <c r="D24" s="268">
        <v>1576</v>
      </c>
      <c r="E24" s="268">
        <v>1757</v>
      </c>
      <c r="F24" s="268">
        <v>1657</v>
      </c>
      <c r="G24" s="268">
        <v>1829</v>
      </c>
      <c r="H24" s="268">
        <v>1792</v>
      </c>
      <c r="I24" s="268">
        <v>1384</v>
      </c>
      <c r="J24" s="268">
        <v>1776</v>
      </c>
      <c r="K24" s="268">
        <v>2049</v>
      </c>
      <c r="L24" s="268">
        <v>2755</v>
      </c>
      <c r="M24" s="268">
        <v>2975</v>
      </c>
      <c r="N24" s="203">
        <v>2.7350034474833373E-2</v>
      </c>
      <c r="O24" s="203">
        <v>7.9854809437386542E-2</v>
      </c>
      <c r="P24" s="203">
        <v>0.88769035532994933</v>
      </c>
      <c r="Q24" s="8"/>
      <c r="R24" s="8"/>
    </row>
    <row r="25" spans="1:18" ht="15" customHeight="1">
      <c r="A25" s="161"/>
      <c r="B25" s="259"/>
      <c r="C25" s="179" t="s">
        <v>238</v>
      </c>
      <c r="D25" s="267">
        <v>776</v>
      </c>
      <c r="E25" s="267">
        <v>782</v>
      </c>
      <c r="F25" s="267">
        <v>828</v>
      </c>
      <c r="G25" s="267">
        <v>731</v>
      </c>
      <c r="H25" s="267">
        <v>772</v>
      </c>
      <c r="I25" s="267">
        <v>588</v>
      </c>
      <c r="J25" s="267">
        <v>677</v>
      </c>
      <c r="K25" s="267">
        <v>666</v>
      </c>
      <c r="L25" s="267">
        <v>873</v>
      </c>
      <c r="M25" s="267">
        <v>934</v>
      </c>
      <c r="N25" s="202">
        <v>8.5865318317628128E-3</v>
      </c>
      <c r="O25" s="202">
        <v>6.9873997709049229E-2</v>
      </c>
      <c r="P25" s="202">
        <v>0.20360824742268036</v>
      </c>
      <c r="Q25" s="8"/>
      <c r="R25" s="8"/>
    </row>
    <row r="26" spans="1:18" ht="15" customHeight="1">
      <c r="A26" s="162"/>
      <c r="B26" s="260" t="s">
        <v>96</v>
      </c>
      <c r="C26" s="183"/>
      <c r="D26" s="118">
        <v>7583</v>
      </c>
      <c r="E26" s="118">
        <v>7231</v>
      </c>
      <c r="F26" s="118">
        <v>7261</v>
      </c>
      <c r="G26" s="118">
        <v>7012</v>
      </c>
      <c r="H26" s="118">
        <v>7288</v>
      </c>
      <c r="I26" s="118">
        <v>5378</v>
      </c>
      <c r="J26" s="118">
        <v>6537</v>
      </c>
      <c r="K26" s="118">
        <v>8671</v>
      </c>
      <c r="L26" s="118">
        <v>10914</v>
      </c>
      <c r="M26" s="118">
        <v>11171</v>
      </c>
      <c r="N26" s="97">
        <v>0.10269823029188692</v>
      </c>
      <c r="O26" s="97">
        <v>2.3547736851750045E-2</v>
      </c>
      <c r="P26" s="97">
        <v>0.47316365554529871</v>
      </c>
      <c r="Q26" s="8"/>
      <c r="R26" s="8"/>
    </row>
    <row r="27" spans="1:18" ht="15" customHeight="1">
      <c r="A27" s="161"/>
      <c r="B27" s="259"/>
      <c r="C27" s="179" t="s">
        <v>239</v>
      </c>
      <c r="D27" s="267">
        <v>841</v>
      </c>
      <c r="E27" s="267">
        <v>919</v>
      </c>
      <c r="F27" s="267">
        <v>942</v>
      </c>
      <c r="G27" s="267">
        <v>961</v>
      </c>
      <c r="H27" s="267">
        <v>1000</v>
      </c>
      <c r="I27" s="267">
        <v>898</v>
      </c>
      <c r="J27" s="267">
        <v>1205</v>
      </c>
      <c r="K27" s="267">
        <v>1577</v>
      </c>
      <c r="L27" s="267">
        <v>1779</v>
      </c>
      <c r="M27" s="267">
        <v>1996</v>
      </c>
      <c r="N27" s="202">
        <v>1.8349804642610892E-2</v>
      </c>
      <c r="O27" s="202">
        <v>0.12197863968521649</v>
      </c>
      <c r="P27" s="202">
        <v>1.3733650416171224</v>
      </c>
      <c r="Q27" s="8"/>
      <c r="R27" s="8"/>
    </row>
    <row r="28" spans="1:18" ht="15" customHeight="1">
      <c r="A28" s="162"/>
      <c r="B28" s="260"/>
      <c r="C28" s="183" t="s">
        <v>240</v>
      </c>
      <c r="D28" s="268">
        <v>940</v>
      </c>
      <c r="E28" s="268">
        <v>976</v>
      </c>
      <c r="F28" s="268">
        <v>1019</v>
      </c>
      <c r="G28" s="268">
        <v>1126</v>
      </c>
      <c r="H28" s="268">
        <v>1199</v>
      </c>
      <c r="I28" s="268">
        <v>886</v>
      </c>
      <c r="J28" s="268">
        <v>1057</v>
      </c>
      <c r="K28" s="268">
        <v>1412</v>
      </c>
      <c r="L28" s="268">
        <v>1651</v>
      </c>
      <c r="M28" s="268">
        <v>1612</v>
      </c>
      <c r="N28" s="203">
        <v>1.481958170535509E-2</v>
      </c>
      <c r="O28" s="203">
        <v>-2.3622047244094446E-2</v>
      </c>
      <c r="P28" s="203">
        <v>0.71489361702127652</v>
      </c>
      <c r="Q28" s="8"/>
      <c r="R28" s="8"/>
    </row>
    <row r="29" spans="1:18" ht="15" customHeight="1">
      <c r="A29" s="161"/>
      <c r="B29" s="259"/>
      <c r="C29" s="179" t="s">
        <v>241</v>
      </c>
      <c r="D29" s="267">
        <v>2271</v>
      </c>
      <c r="E29" s="267">
        <v>2029</v>
      </c>
      <c r="F29" s="267">
        <v>2186</v>
      </c>
      <c r="G29" s="267">
        <v>2043</v>
      </c>
      <c r="H29" s="267">
        <v>2020</v>
      </c>
      <c r="I29" s="267">
        <v>1427</v>
      </c>
      <c r="J29" s="267">
        <v>1896</v>
      </c>
      <c r="K29" s="267">
        <v>2315</v>
      </c>
      <c r="L29" s="267">
        <v>3030</v>
      </c>
      <c r="M29" s="267">
        <v>3011</v>
      </c>
      <c r="N29" s="202">
        <v>2.7680992875201104E-2</v>
      </c>
      <c r="O29" s="202">
        <v>-6.2706270627063132E-3</v>
      </c>
      <c r="P29" s="202">
        <v>0.32584764420959922</v>
      </c>
      <c r="Q29" s="8"/>
      <c r="R29" s="8"/>
    </row>
    <row r="30" spans="1:18" ht="15" customHeight="1">
      <c r="A30" s="162"/>
      <c r="B30" s="260"/>
      <c r="C30" s="183" t="s">
        <v>242</v>
      </c>
      <c r="D30" s="268">
        <v>820</v>
      </c>
      <c r="E30" s="268">
        <v>923</v>
      </c>
      <c r="F30" s="268">
        <v>841</v>
      </c>
      <c r="G30" s="268">
        <v>704</v>
      </c>
      <c r="H30" s="268">
        <v>681</v>
      </c>
      <c r="I30" s="268">
        <v>491</v>
      </c>
      <c r="J30" s="268">
        <v>507</v>
      </c>
      <c r="K30" s="268">
        <v>610</v>
      </c>
      <c r="L30" s="268">
        <v>750</v>
      </c>
      <c r="M30" s="268">
        <v>776</v>
      </c>
      <c r="N30" s="203">
        <v>7.1339921857044358E-3</v>
      </c>
      <c r="O30" s="203">
        <v>3.4666666666666623E-2</v>
      </c>
      <c r="P30" s="203">
        <v>-5.3658536585365901E-2</v>
      </c>
      <c r="Q30" s="8"/>
      <c r="R30" s="8"/>
    </row>
    <row r="31" spans="1:18" ht="15" customHeight="1">
      <c r="A31" s="161"/>
      <c r="B31" s="259"/>
      <c r="C31" s="179" t="s">
        <v>243</v>
      </c>
      <c r="D31" s="267">
        <v>2711</v>
      </c>
      <c r="E31" s="267">
        <v>2384</v>
      </c>
      <c r="F31" s="267">
        <v>2273</v>
      </c>
      <c r="G31" s="267">
        <v>2178</v>
      </c>
      <c r="H31" s="267">
        <v>2388</v>
      </c>
      <c r="I31" s="267">
        <v>1676</v>
      </c>
      <c r="J31" s="267">
        <v>1872</v>
      </c>
      <c r="K31" s="267">
        <v>2757</v>
      </c>
      <c r="L31" s="267">
        <v>3704</v>
      </c>
      <c r="M31" s="267">
        <v>3776</v>
      </c>
      <c r="N31" s="202">
        <v>3.4713858883015397E-2</v>
      </c>
      <c r="O31" s="202">
        <v>1.9438444924406051E-2</v>
      </c>
      <c r="P31" s="202">
        <v>0.39284396901512353</v>
      </c>
      <c r="Q31" s="8"/>
      <c r="R31" s="8"/>
    </row>
    <row r="32" spans="1:18" ht="15" customHeight="1">
      <c r="A32" s="162"/>
      <c r="B32" s="260" t="s">
        <v>97</v>
      </c>
      <c r="C32" s="183"/>
      <c r="D32" s="118">
        <v>3325</v>
      </c>
      <c r="E32" s="118">
        <v>3612</v>
      </c>
      <c r="F32" s="118">
        <v>3252</v>
      </c>
      <c r="G32" s="118">
        <v>3292</v>
      </c>
      <c r="H32" s="118">
        <v>3276</v>
      </c>
      <c r="I32" s="118">
        <v>2383</v>
      </c>
      <c r="J32" s="118">
        <v>2816</v>
      </c>
      <c r="K32" s="118">
        <v>3902</v>
      </c>
      <c r="L32" s="118">
        <v>4758</v>
      </c>
      <c r="M32" s="118">
        <v>5256</v>
      </c>
      <c r="N32" s="97">
        <v>4.8319926453688808E-2</v>
      </c>
      <c r="O32" s="97">
        <v>0.10466582597730145</v>
      </c>
      <c r="P32" s="97">
        <v>0.58075187969924813</v>
      </c>
      <c r="Q32" s="8"/>
      <c r="R32" s="8"/>
    </row>
    <row r="33" spans="1:18" ht="15" customHeight="1">
      <c r="A33" s="161"/>
      <c r="B33" s="259"/>
      <c r="C33" s="179" t="s">
        <v>244</v>
      </c>
      <c r="D33" s="116">
        <v>605</v>
      </c>
      <c r="E33" s="116">
        <v>607</v>
      </c>
      <c r="F33" s="116">
        <v>593</v>
      </c>
      <c r="G33" s="116">
        <v>563</v>
      </c>
      <c r="H33" s="116">
        <v>576</v>
      </c>
      <c r="I33" s="116">
        <v>397</v>
      </c>
      <c r="J33" s="116">
        <v>454</v>
      </c>
      <c r="K33" s="116">
        <v>621</v>
      </c>
      <c r="L33" s="116">
        <v>741</v>
      </c>
      <c r="M33" s="116">
        <v>777</v>
      </c>
      <c r="N33" s="96">
        <v>7.1431854746035394E-3</v>
      </c>
      <c r="O33" s="96">
        <v>4.8582995951417018E-2</v>
      </c>
      <c r="P33" s="96">
        <v>0.2842975206611571</v>
      </c>
      <c r="Q33" s="8"/>
      <c r="R33" s="8"/>
    </row>
    <row r="34" spans="1:18" ht="15" customHeight="1">
      <c r="A34" s="162"/>
      <c r="B34" s="260"/>
      <c r="C34" s="183" t="s">
        <v>245</v>
      </c>
      <c r="D34" s="268">
        <v>737</v>
      </c>
      <c r="E34" s="268">
        <v>902</v>
      </c>
      <c r="F34" s="268">
        <v>867</v>
      </c>
      <c r="G34" s="268">
        <v>923</v>
      </c>
      <c r="H34" s="268">
        <v>792</v>
      </c>
      <c r="I34" s="268">
        <v>624</v>
      </c>
      <c r="J34" s="268">
        <v>716</v>
      </c>
      <c r="K34" s="268">
        <v>840</v>
      </c>
      <c r="L34" s="268">
        <v>1036</v>
      </c>
      <c r="M34" s="268">
        <v>1117</v>
      </c>
      <c r="N34" s="203">
        <v>1.0268903700298782E-2</v>
      </c>
      <c r="O34" s="203">
        <v>7.8185328185328196E-2</v>
      </c>
      <c r="P34" s="203">
        <v>0.51560379918588883</v>
      </c>
      <c r="Q34" s="8"/>
      <c r="R34" s="8"/>
    </row>
    <row r="35" spans="1:18" ht="15" customHeight="1">
      <c r="A35" s="161"/>
      <c r="B35" s="259"/>
      <c r="C35" s="179" t="s">
        <v>246</v>
      </c>
      <c r="D35" s="267">
        <v>1983</v>
      </c>
      <c r="E35" s="267">
        <v>2103</v>
      </c>
      <c r="F35" s="267">
        <v>1792</v>
      </c>
      <c r="G35" s="267">
        <v>1806</v>
      </c>
      <c r="H35" s="267">
        <v>1908</v>
      </c>
      <c r="I35" s="267">
        <v>1362</v>
      </c>
      <c r="J35" s="267">
        <v>1646</v>
      </c>
      <c r="K35" s="267">
        <v>2441</v>
      </c>
      <c r="L35" s="267">
        <v>2981</v>
      </c>
      <c r="M35" s="267">
        <v>3362</v>
      </c>
      <c r="N35" s="202">
        <v>3.0907837278786487E-2</v>
      </c>
      <c r="O35" s="202">
        <v>0.12780945991278103</v>
      </c>
      <c r="P35" s="202">
        <v>0.69541099344427626</v>
      </c>
      <c r="Q35" s="8"/>
      <c r="R35" s="8"/>
    </row>
    <row r="36" spans="1:18" ht="15" customHeight="1">
      <c r="A36" s="162"/>
      <c r="B36" s="260" t="s">
        <v>98</v>
      </c>
      <c r="C36" s="183"/>
      <c r="D36" s="118">
        <v>1647</v>
      </c>
      <c r="E36" s="118">
        <v>1890</v>
      </c>
      <c r="F36" s="118">
        <v>1871</v>
      </c>
      <c r="G36" s="118">
        <v>1904</v>
      </c>
      <c r="H36" s="118">
        <v>2356</v>
      </c>
      <c r="I36" s="118">
        <v>1544</v>
      </c>
      <c r="J36" s="118">
        <v>1778</v>
      </c>
      <c r="K36" s="118">
        <v>2625</v>
      </c>
      <c r="L36" s="118">
        <v>3089</v>
      </c>
      <c r="M36" s="118">
        <v>3091</v>
      </c>
      <c r="N36" s="97">
        <v>2.8416455987129396E-2</v>
      </c>
      <c r="O36" s="97">
        <v>6.4745872450622244E-4</v>
      </c>
      <c r="P36" s="97">
        <v>0.87674559805707353</v>
      </c>
      <c r="Q36" s="8"/>
      <c r="R36" s="8"/>
    </row>
    <row r="37" spans="1:18" ht="15" customHeight="1">
      <c r="A37" s="161"/>
      <c r="B37" s="259"/>
      <c r="C37" s="179" t="s">
        <v>247</v>
      </c>
      <c r="D37" s="267">
        <v>1320</v>
      </c>
      <c r="E37" s="267">
        <v>1515</v>
      </c>
      <c r="F37" s="267">
        <v>1448</v>
      </c>
      <c r="G37" s="267">
        <v>1459</v>
      </c>
      <c r="H37" s="267">
        <v>1826</v>
      </c>
      <c r="I37" s="267">
        <v>1221</v>
      </c>
      <c r="J37" s="267">
        <v>1308</v>
      </c>
      <c r="K37" s="267">
        <v>1974</v>
      </c>
      <c r="L37" s="267">
        <v>2239</v>
      </c>
      <c r="M37" s="267">
        <v>2194</v>
      </c>
      <c r="N37" s="202">
        <v>2.0170075844633418E-2</v>
      </c>
      <c r="O37" s="202">
        <v>-2.0098258150960224E-2</v>
      </c>
      <c r="P37" s="202">
        <v>0.66212121212121211</v>
      </c>
      <c r="Q37" s="8"/>
      <c r="R37" s="8"/>
    </row>
    <row r="38" spans="1:18" ht="15" customHeight="1">
      <c r="A38" s="162"/>
      <c r="B38" s="260"/>
      <c r="C38" s="183" t="s">
        <v>248</v>
      </c>
      <c r="D38" s="268">
        <v>101</v>
      </c>
      <c r="E38" s="268">
        <v>108</v>
      </c>
      <c r="F38" s="268">
        <v>122</v>
      </c>
      <c r="G38" s="268">
        <v>119</v>
      </c>
      <c r="H38" s="268">
        <v>138</v>
      </c>
      <c r="I38" s="268">
        <v>77</v>
      </c>
      <c r="J38" s="268">
        <v>96</v>
      </c>
      <c r="K38" s="268">
        <v>196</v>
      </c>
      <c r="L38" s="268">
        <v>243</v>
      </c>
      <c r="M38" s="268">
        <v>292</v>
      </c>
      <c r="N38" s="203">
        <v>2.684440358538267E-3</v>
      </c>
      <c r="O38" s="203">
        <v>0.20164609053497951</v>
      </c>
      <c r="P38" s="203">
        <v>1.891089108910891</v>
      </c>
      <c r="Q38" s="8"/>
      <c r="R38" s="8"/>
    </row>
    <row r="39" spans="1:18" ht="15" customHeight="1">
      <c r="A39" s="161"/>
      <c r="B39" s="259"/>
      <c r="C39" s="179" t="s">
        <v>249</v>
      </c>
      <c r="D39" s="267">
        <v>111</v>
      </c>
      <c r="E39" s="267">
        <v>126</v>
      </c>
      <c r="F39" s="267">
        <v>158</v>
      </c>
      <c r="G39" s="267">
        <v>179</v>
      </c>
      <c r="H39" s="267">
        <v>195</v>
      </c>
      <c r="I39" s="267">
        <v>132</v>
      </c>
      <c r="J39" s="267">
        <v>217</v>
      </c>
      <c r="K39" s="267">
        <v>265</v>
      </c>
      <c r="L39" s="267">
        <v>355</v>
      </c>
      <c r="M39" s="267">
        <v>355</v>
      </c>
      <c r="N39" s="202">
        <v>3.2636175591817971E-3</v>
      </c>
      <c r="O39" s="202">
        <v>0</v>
      </c>
      <c r="P39" s="202">
        <v>2.1981981981981984</v>
      </c>
      <c r="Q39" s="8"/>
      <c r="R39" s="8"/>
    </row>
    <row r="40" spans="1:18" ht="15" customHeight="1">
      <c r="A40" s="162"/>
      <c r="B40" s="260"/>
      <c r="C40" s="183" t="s">
        <v>250</v>
      </c>
      <c r="D40" s="268">
        <v>115</v>
      </c>
      <c r="E40" s="268">
        <v>141</v>
      </c>
      <c r="F40" s="268">
        <v>143</v>
      </c>
      <c r="G40" s="268">
        <v>147</v>
      </c>
      <c r="H40" s="268">
        <v>197</v>
      </c>
      <c r="I40" s="268">
        <v>114</v>
      </c>
      <c r="J40" s="268">
        <v>157</v>
      </c>
      <c r="K40" s="268">
        <v>190</v>
      </c>
      <c r="L40" s="268">
        <v>252</v>
      </c>
      <c r="M40" s="268">
        <v>250</v>
      </c>
      <c r="N40" s="203">
        <v>2.2983222247759134E-3</v>
      </c>
      <c r="O40" s="203">
        <v>-7.9365079365079083E-3</v>
      </c>
      <c r="P40" s="203">
        <v>1.1739130434782608</v>
      </c>
      <c r="Q40" s="8"/>
      <c r="R40" s="8"/>
    </row>
    <row r="41" spans="1:18" ht="15" customHeight="1">
      <c r="A41" s="161"/>
      <c r="B41" s="259" t="s">
        <v>99</v>
      </c>
      <c r="C41" s="179"/>
      <c r="D41" s="116">
        <v>6683</v>
      </c>
      <c r="E41" s="116">
        <v>6619</v>
      </c>
      <c r="F41" s="116">
        <v>7352</v>
      </c>
      <c r="G41" s="116">
        <v>7287</v>
      </c>
      <c r="H41" s="116">
        <v>8018</v>
      </c>
      <c r="I41" s="116">
        <v>5769</v>
      </c>
      <c r="J41" s="116">
        <v>7125</v>
      </c>
      <c r="K41" s="116">
        <v>8282</v>
      </c>
      <c r="L41" s="116">
        <v>9829</v>
      </c>
      <c r="M41" s="116">
        <v>10073</v>
      </c>
      <c r="N41" s="96">
        <v>9.2603999080671115E-2</v>
      </c>
      <c r="O41" s="96">
        <v>2.4824498931732553E-2</v>
      </c>
      <c r="P41" s="96">
        <v>0.50725721981146199</v>
      </c>
      <c r="Q41" s="8"/>
      <c r="R41" s="8"/>
    </row>
    <row r="42" spans="1:18" ht="15" customHeight="1">
      <c r="A42" s="162"/>
      <c r="B42" s="260"/>
      <c r="C42" s="183" t="s">
        <v>251</v>
      </c>
      <c r="D42" s="268">
        <v>1613</v>
      </c>
      <c r="E42" s="268">
        <v>1578</v>
      </c>
      <c r="F42" s="268">
        <v>1754</v>
      </c>
      <c r="G42" s="268">
        <v>1874</v>
      </c>
      <c r="H42" s="268">
        <v>2200</v>
      </c>
      <c r="I42" s="268">
        <v>1515</v>
      </c>
      <c r="J42" s="268">
        <v>1835</v>
      </c>
      <c r="K42" s="268">
        <v>2380</v>
      </c>
      <c r="L42" s="268">
        <v>2702</v>
      </c>
      <c r="M42" s="268">
        <v>2563</v>
      </c>
      <c r="N42" s="203">
        <v>2.3562399448402667E-2</v>
      </c>
      <c r="O42" s="203">
        <v>-5.1443375277572145E-2</v>
      </c>
      <c r="P42" s="203">
        <v>0.58896466212027287</v>
      </c>
      <c r="Q42" s="8"/>
      <c r="R42" s="8"/>
    </row>
    <row r="43" spans="1:18" ht="15" customHeight="1">
      <c r="A43" s="161"/>
      <c r="B43" s="259"/>
      <c r="C43" s="179" t="s">
        <v>252</v>
      </c>
      <c r="D43" s="267">
        <v>1697</v>
      </c>
      <c r="E43" s="267">
        <v>1761</v>
      </c>
      <c r="F43" s="267">
        <v>1801</v>
      </c>
      <c r="G43" s="267">
        <v>1939</v>
      </c>
      <c r="H43" s="267">
        <v>2056</v>
      </c>
      <c r="I43" s="267">
        <v>1332</v>
      </c>
      <c r="J43" s="267">
        <v>1469</v>
      </c>
      <c r="K43" s="267">
        <v>1777</v>
      </c>
      <c r="L43" s="267">
        <v>2006</v>
      </c>
      <c r="M43" s="267">
        <v>1962</v>
      </c>
      <c r="N43" s="202">
        <v>1.8037232820041368E-2</v>
      </c>
      <c r="O43" s="202">
        <v>-2.193419740777669E-2</v>
      </c>
      <c r="P43" s="202">
        <v>0.15615792575132592</v>
      </c>
      <c r="Q43" s="8"/>
      <c r="R43" s="8"/>
    </row>
    <row r="44" spans="1:18" ht="15" customHeight="1">
      <c r="A44" s="162"/>
      <c r="B44" s="260"/>
      <c r="C44" s="183" t="s">
        <v>253</v>
      </c>
      <c r="D44" s="268">
        <v>611</v>
      </c>
      <c r="E44" s="268">
        <v>560</v>
      </c>
      <c r="F44" s="268">
        <v>760</v>
      </c>
      <c r="G44" s="268">
        <v>626</v>
      </c>
      <c r="H44" s="268">
        <v>719</v>
      </c>
      <c r="I44" s="268">
        <v>562</v>
      </c>
      <c r="J44" s="268">
        <v>768</v>
      </c>
      <c r="K44" s="268">
        <v>820</v>
      </c>
      <c r="L44" s="268">
        <v>1115</v>
      </c>
      <c r="M44" s="268">
        <v>1382</v>
      </c>
      <c r="N44" s="203">
        <v>1.270512525856125E-2</v>
      </c>
      <c r="O44" s="203">
        <v>0.23946188340807173</v>
      </c>
      <c r="P44" s="203">
        <v>1.2618657937806872</v>
      </c>
      <c r="Q44" s="8"/>
      <c r="R44" s="8"/>
    </row>
    <row r="45" spans="1:18" ht="15" customHeight="1">
      <c r="A45" s="161"/>
      <c r="B45" s="259"/>
      <c r="C45" s="179" t="s">
        <v>254</v>
      </c>
      <c r="D45" s="267">
        <v>659</v>
      </c>
      <c r="E45" s="267">
        <v>687</v>
      </c>
      <c r="F45" s="267">
        <v>683</v>
      </c>
      <c r="G45" s="267">
        <v>717</v>
      </c>
      <c r="H45" s="267">
        <v>796</v>
      </c>
      <c r="I45" s="267">
        <v>590</v>
      </c>
      <c r="J45" s="267">
        <v>988</v>
      </c>
      <c r="K45" s="267">
        <v>827</v>
      </c>
      <c r="L45" s="267">
        <v>1148</v>
      </c>
      <c r="M45" s="267">
        <v>1206</v>
      </c>
      <c r="N45" s="202">
        <v>1.1087106412319006E-2</v>
      </c>
      <c r="O45" s="202">
        <v>5.0522648083623611E-2</v>
      </c>
      <c r="P45" s="202">
        <v>0.83004552352048555</v>
      </c>
      <c r="Q45" s="8"/>
      <c r="R45" s="8"/>
    </row>
    <row r="46" spans="1:18" ht="15" customHeight="1">
      <c r="A46" s="162"/>
      <c r="B46" s="260"/>
      <c r="C46" s="183" t="s">
        <v>255</v>
      </c>
      <c r="D46" s="268">
        <v>2103</v>
      </c>
      <c r="E46" s="268">
        <v>2033</v>
      </c>
      <c r="F46" s="268">
        <v>2354</v>
      </c>
      <c r="G46" s="268">
        <v>2131</v>
      </c>
      <c r="H46" s="268">
        <v>2247</v>
      </c>
      <c r="I46" s="268">
        <v>1770</v>
      </c>
      <c r="J46" s="268">
        <v>2065</v>
      </c>
      <c r="K46" s="268">
        <v>2478</v>
      </c>
      <c r="L46" s="268">
        <v>2858</v>
      </c>
      <c r="M46" s="268">
        <v>2960</v>
      </c>
      <c r="N46" s="203">
        <v>2.7212135141346818E-2</v>
      </c>
      <c r="O46" s="203">
        <v>3.5689293212036288E-2</v>
      </c>
      <c r="P46" s="203">
        <v>0.40751307655729918</v>
      </c>
      <c r="Q46" s="8"/>
      <c r="R46" s="8"/>
    </row>
    <row r="47" spans="1:18" ht="15" customHeight="1">
      <c r="A47" s="161"/>
      <c r="B47" s="259" t="s">
        <v>100</v>
      </c>
      <c r="C47" s="179"/>
      <c r="D47" s="116">
        <v>11274</v>
      </c>
      <c r="E47" s="116">
        <v>11466</v>
      </c>
      <c r="F47" s="116">
        <v>11339</v>
      </c>
      <c r="G47" s="116">
        <v>12057</v>
      </c>
      <c r="H47" s="116">
        <v>13544</v>
      </c>
      <c r="I47" s="116">
        <v>10171</v>
      </c>
      <c r="J47" s="116">
        <v>12774</v>
      </c>
      <c r="K47" s="116">
        <v>15005</v>
      </c>
      <c r="L47" s="116">
        <v>18556</v>
      </c>
      <c r="M47" s="116">
        <v>19904</v>
      </c>
      <c r="N47" s="96">
        <v>0.18298322224775915</v>
      </c>
      <c r="O47" s="96">
        <v>7.2644966587626536E-2</v>
      </c>
      <c r="P47" s="96">
        <v>0.7654780911832535</v>
      </c>
      <c r="Q47" s="8"/>
      <c r="R47" s="8"/>
    </row>
    <row r="48" spans="1:18" ht="15" customHeight="1">
      <c r="A48" s="162"/>
      <c r="B48" s="260"/>
      <c r="C48" s="183" t="s">
        <v>256</v>
      </c>
      <c r="D48" s="268">
        <v>5544</v>
      </c>
      <c r="E48" s="268">
        <v>5707</v>
      </c>
      <c r="F48" s="268">
        <v>6284</v>
      </c>
      <c r="G48" s="268">
        <v>6940</v>
      </c>
      <c r="H48" s="268">
        <v>8025</v>
      </c>
      <c r="I48" s="268">
        <v>6168</v>
      </c>
      <c r="J48" s="268">
        <v>7936</v>
      </c>
      <c r="K48" s="268">
        <v>9923</v>
      </c>
      <c r="L48" s="268">
        <v>12110</v>
      </c>
      <c r="M48" s="268">
        <v>13299</v>
      </c>
      <c r="N48" s="203">
        <v>0.12226154906917949</v>
      </c>
      <c r="O48" s="203">
        <v>9.8183319570602778E-2</v>
      </c>
      <c r="P48" s="203">
        <v>1.3988095238095237</v>
      </c>
      <c r="Q48" s="8"/>
      <c r="R48" s="8"/>
    </row>
    <row r="49" spans="1:18" ht="15" customHeight="1">
      <c r="A49" s="161"/>
      <c r="B49" s="259"/>
      <c r="C49" s="179" t="s">
        <v>257</v>
      </c>
      <c r="D49" s="267">
        <v>2923</v>
      </c>
      <c r="E49" s="267">
        <v>2903</v>
      </c>
      <c r="F49" s="267">
        <v>2395</v>
      </c>
      <c r="G49" s="267">
        <v>2401</v>
      </c>
      <c r="H49" s="267">
        <v>2310</v>
      </c>
      <c r="I49" s="267">
        <v>1654</v>
      </c>
      <c r="J49" s="267">
        <v>1946</v>
      </c>
      <c r="K49" s="267">
        <v>2126</v>
      </c>
      <c r="L49" s="267">
        <v>2737</v>
      </c>
      <c r="M49" s="267">
        <v>2730</v>
      </c>
      <c r="N49" s="202">
        <v>2.5097678694552976E-2</v>
      </c>
      <c r="O49" s="202">
        <v>-2.5575447570332921E-3</v>
      </c>
      <c r="P49" s="202">
        <v>-6.6028053369825535E-2</v>
      </c>
      <c r="Q49" s="8"/>
      <c r="R49" s="8"/>
    </row>
    <row r="50" spans="1:18" ht="15" customHeight="1">
      <c r="A50" s="162"/>
      <c r="B50" s="260"/>
      <c r="C50" s="183" t="s">
        <v>258</v>
      </c>
      <c r="D50" s="268">
        <v>2807</v>
      </c>
      <c r="E50" s="268">
        <v>2856</v>
      </c>
      <c r="F50" s="268">
        <v>2660</v>
      </c>
      <c r="G50" s="268">
        <v>2716</v>
      </c>
      <c r="H50" s="268">
        <v>3209</v>
      </c>
      <c r="I50" s="268">
        <v>2349</v>
      </c>
      <c r="J50" s="268">
        <v>2892</v>
      </c>
      <c r="K50" s="268">
        <v>2956</v>
      </c>
      <c r="L50" s="268">
        <v>3709</v>
      </c>
      <c r="M50" s="268">
        <v>3875</v>
      </c>
      <c r="N50" s="203">
        <v>3.5623994484026658E-2</v>
      </c>
      <c r="O50" s="203">
        <v>4.475599892154225E-2</v>
      </c>
      <c r="P50" s="203">
        <v>0.38047737798361236</v>
      </c>
      <c r="Q50" s="8"/>
      <c r="R50" s="8"/>
    </row>
    <row r="51" spans="1:18" ht="15" customHeight="1">
      <c r="A51" s="161"/>
      <c r="B51" s="259" t="s">
        <v>259</v>
      </c>
      <c r="C51" s="179"/>
      <c r="D51" s="116">
        <v>119</v>
      </c>
      <c r="E51" s="116">
        <v>115</v>
      </c>
      <c r="F51" s="116">
        <v>122</v>
      </c>
      <c r="G51" s="116">
        <v>91</v>
      </c>
      <c r="H51" s="116">
        <v>138</v>
      </c>
      <c r="I51" s="116">
        <v>91</v>
      </c>
      <c r="J51" s="116">
        <v>148</v>
      </c>
      <c r="K51" s="116">
        <v>183</v>
      </c>
      <c r="L51" s="116">
        <v>233</v>
      </c>
      <c r="M51" s="116">
        <v>248</v>
      </c>
      <c r="N51" s="96">
        <v>2.2799356469777061E-3</v>
      </c>
      <c r="O51" s="96">
        <v>6.4377682403433445E-2</v>
      </c>
      <c r="P51" s="96">
        <v>1.0840336134453783</v>
      </c>
      <c r="Q51" s="8"/>
      <c r="R51" s="8"/>
    </row>
    <row r="52" spans="1:18" ht="15" customHeight="1">
      <c r="A52" s="162"/>
      <c r="B52" s="260" t="s">
        <v>260</v>
      </c>
      <c r="C52" s="183"/>
      <c r="D52" s="118">
        <v>1926</v>
      </c>
      <c r="E52" s="118">
        <v>1365</v>
      </c>
      <c r="F52" s="118">
        <v>1468</v>
      </c>
      <c r="G52" s="118">
        <v>1690</v>
      </c>
      <c r="H52" s="118">
        <v>2116</v>
      </c>
      <c r="I52" s="118">
        <v>1609</v>
      </c>
      <c r="J52" s="118">
        <v>1690</v>
      </c>
      <c r="K52" s="118">
        <v>1910</v>
      </c>
      <c r="L52" s="118">
        <v>2716</v>
      </c>
      <c r="M52" s="118">
        <v>3980</v>
      </c>
      <c r="N52" s="97">
        <v>3.6589289818432541E-2</v>
      </c>
      <c r="O52" s="97">
        <v>0.46539027982326941</v>
      </c>
      <c r="P52" s="97">
        <v>1.0664589823468327</v>
      </c>
      <c r="Q52" s="8"/>
      <c r="R52" s="8"/>
    </row>
    <row r="53" spans="1:18" ht="15" customHeight="1">
      <c r="A53" s="161"/>
      <c r="B53" s="259" t="s">
        <v>261</v>
      </c>
      <c r="C53" s="179"/>
      <c r="D53" s="116">
        <v>2307</v>
      </c>
      <c r="E53" s="116">
        <v>2377</v>
      </c>
      <c r="F53" s="116">
        <v>2305</v>
      </c>
      <c r="G53" s="116">
        <v>2373</v>
      </c>
      <c r="H53" s="116">
        <v>2452</v>
      </c>
      <c r="I53" s="116">
        <v>1957</v>
      </c>
      <c r="J53" s="116">
        <v>2409</v>
      </c>
      <c r="K53" s="116">
        <v>3147</v>
      </c>
      <c r="L53" s="116">
        <v>4149</v>
      </c>
      <c r="M53" s="116">
        <v>4230</v>
      </c>
      <c r="N53" s="96">
        <v>3.888761204320846E-2</v>
      </c>
      <c r="O53" s="96">
        <v>1.952277657266821E-2</v>
      </c>
      <c r="P53" s="96">
        <v>0.83355006501950579</v>
      </c>
      <c r="Q53" s="8"/>
      <c r="R53" s="8"/>
    </row>
    <row r="54" spans="1:18" ht="15" customHeight="1">
      <c r="A54" s="162"/>
      <c r="B54" s="260" t="s">
        <v>105</v>
      </c>
      <c r="C54" s="183"/>
      <c r="D54" s="118">
        <v>3982</v>
      </c>
      <c r="E54" s="118">
        <v>4490</v>
      </c>
      <c r="F54" s="118">
        <v>3853</v>
      </c>
      <c r="G54" s="118">
        <v>3569</v>
      </c>
      <c r="H54" s="118">
        <v>3960</v>
      </c>
      <c r="I54" s="118">
        <v>2777</v>
      </c>
      <c r="J54" s="118">
        <v>2987</v>
      </c>
      <c r="K54" s="118">
        <v>4141</v>
      </c>
      <c r="L54" s="118">
        <v>5421</v>
      </c>
      <c r="M54" s="118">
        <v>5680</v>
      </c>
      <c r="N54" s="97">
        <v>5.2217880946908754E-2</v>
      </c>
      <c r="O54" s="97">
        <v>4.7777162885076496E-2</v>
      </c>
      <c r="P54" s="97">
        <v>0.42641888498242086</v>
      </c>
      <c r="Q54" s="8"/>
      <c r="R54" s="8"/>
    </row>
    <row r="55" spans="1:18" ht="15" customHeight="1">
      <c r="A55" s="161"/>
      <c r="B55" s="259" t="s">
        <v>53</v>
      </c>
      <c r="C55" s="172"/>
      <c r="D55" s="116">
        <v>2875</v>
      </c>
      <c r="E55" s="116">
        <v>2970</v>
      </c>
      <c r="F55" s="116">
        <v>2513</v>
      </c>
      <c r="G55" s="116">
        <v>2422</v>
      </c>
      <c r="H55" s="116">
        <v>2600</v>
      </c>
      <c r="I55" s="116">
        <v>1776</v>
      </c>
      <c r="J55" s="116">
        <v>1937</v>
      </c>
      <c r="K55" s="116">
        <v>2466</v>
      </c>
      <c r="L55" s="116">
        <v>3376</v>
      </c>
      <c r="M55" s="116">
        <v>3605</v>
      </c>
      <c r="N55" s="96">
        <v>3.3141806481268674E-2</v>
      </c>
      <c r="O55" s="96">
        <v>6.7831753554502328E-2</v>
      </c>
      <c r="P55" s="96">
        <v>0.25391304347826082</v>
      </c>
      <c r="Q55" s="8"/>
      <c r="R55" s="8"/>
    </row>
    <row r="56" spans="1:18" ht="15" customHeight="1">
      <c r="A56" s="162"/>
      <c r="B56" s="260" t="s">
        <v>50</v>
      </c>
      <c r="C56" s="169"/>
      <c r="D56" s="118">
        <v>2286</v>
      </c>
      <c r="E56" s="118">
        <v>2304</v>
      </c>
      <c r="F56" s="118">
        <v>1773</v>
      </c>
      <c r="G56" s="118">
        <v>2006</v>
      </c>
      <c r="H56" s="118">
        <v>2723</v>
      </c>
      <c r="I56" s="118">
        <v>2387</v>
      </c>
      <c r="J56" s="118">
        <v>2360</v>
      </c>
      <c r="K56" s="118">
        <v>3231</v>
      </c>
      <c r="L56" s="118">
        <v>4209</v>
      </c>
      <c r="M56" s="118">
        <v>3661</v>
      </c>
      <c r="N56" s="97">
        <v>3.3656630659618478E-2</v>
      </c>
      <c r="O56" s="97">
        <v>-0.1301971964837253</v>
      </c>
      <c r="P56" s="97">
        <v>0.6014873140857393</v>
      </c>
      <c r="Q56" s="8"/>
      <c r="R56" s="8"/>
    </row>
    <row r="57" spans="1:18" ht="15" customHeight="1">
      <c r="A57" s="163" t="s">
        <v>55</v>
      </c>
      <c r="B57" s="261"/>
      <c r="C57" s="187"/>
      <c r="D57" s="129">
        <v>5008</v>
      </c>
      <c r="E57" s="129">
        <v>5763</v>
      </c>
      <c r="F57" s="129">
        <v>5219</v>
      </c>
      <c r="G57" s="129">
        <v>5573</v>
      </c>
      <c r="H57" s="129">
        <v>6280</v>
      </c>
      <c r="I57" s="129">
        <v>5460</v>
      </c>
      <c r="J57" s="129">
        <v>6854</v>
      </c>
      <c r="K57" s="129">
        <v>8410</v>
      </c>
      <c r="L57" s="129">
        <v>10614</v>
      </c>
      <c r="M57" s="129">
        <v>10744</v>
      </c>
      <c r="N57" s="130">
        <v>9.8772695931969662E-2</v>
      </c>
      <c r="O57" s="130">
        <v>1.2247974373468917E-2</v>
      </c>
      <c r="P57" s="130">
        <v>1.1453674121405752</v>
      </c>
      <c r="Q57" s="8"/>
      <c r="R57" s="8"/>
    </row>
    <row r="58" spans="1:1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5"/>
      <c r="P58" s="45"/>
      <c r="Q58" s="40"/>
    </row>
    <row r="59" spans="1:18">
      <c r="A59" s="44" t="s">
        <v>129</v>
      </c>
      <c r="B59" s="44" t="s">
        <v>142</v>
      </c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5"/>
      <c r="P59" s="45"/>
      <c r="Q59" s="40"/>
    </row>
    <row r="60" spans="1:18">
      <c r="A60" s="44"/>
      <c r="B60" s="44" t="s">
        <v>66</v>
      </c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5"/>
      <c r="P60" s="45"/>
      <c r="Q60" s="40"/>
    </row>
    <row r="61" spans="1:18">
      <c r="A61" s="44"/>
      <c r="B61" s="44" t="s">
        <v>67</v>
      </c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5"/>
      <c r="P61" s="45"/>
      <c r="Q61" s="40"/>
    </row>
    <row r="62" spans="1:18">
      <c r="A62" s="44"/>
      <c r="B62" s="44" t="s">
        <v>74</v>
      </c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5"/>
      <c r="P62" s="45"/>
      <c r="Q62" s="40"/>
    </row>
    <row r="63" spans="1:18">
      <c r="A63" s="44"/>
      <c r="B63" s="44" t="s">
        <v>68</v>
      </c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5"/>
      <c r="P63" s="45"/>
      <c r="Q63" s="40"/>
    </row>
    <row r="64" spans="1:18">
      <c r="A64" s="44"/>
      <c r="B64" s="44" t="s">
        <v>69</v>
      </c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5"/>
      <c r="P64" s="45"/>
      <c r="Q64" s="40"/>
    </row>
    <row r="65" spans="1:18">
      <c r="A65" s="44"/>
      <c r="B65" s="44" t="s">
        <v>70</v>
      </c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5"/>
      <c r="P65" s="45"/>
      <c r="Q65" s="40"/>
    </row>
    <row r="66" spans="1:18">
      <c r="A66" s="44"/>
      <c r="B66" s="44" t="s">
        <v>71</v>
      </c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5"/>
      <c r="P66" s="45"/>
      <c r="Q66" s="40"/>
    </row>
    <row r="67" spans="1:18">
      <c r="A67" s="44"/>
      <c r="B67" s="44" t="s">
        <v>72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5"/>
      <c r="P67" s="45"/>
      <c r="Q67" s="40"/>
    </row>
    <row r="68" spans="1:1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5"/>
      <c r="P68" s="45"/>
      <c r="Q68" s="40"/>
    </row>
    <row r="69" spans="1:18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5"/>
      <c r="P69" s="45"/>
      <c r="Q69" s="40"/>
    </row>
    <row r="70" spans="1:18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5"/>
      <c r="P70" s="45"/>
      <c r="Q70" s="40"/>
    </row>
    <row r="71" spans="1:18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5"/>
      <c r="P71" s="45"/>
      <c r="Q71" s="40"/>
    </row>
    <row r="72" spans="1:18">
      <c r="Q72" s="8"/>
      <c r="R72" s="8"/>
    </row>
    <row r="73" spans="1:18">
      <c r="Q73" s="8"/>
      <c r="R73" s="8"/>
    </row>
    <row r="74" spans="1:18">
      <c r="Q74" s="8"/>
      <c r="R74" s="8"/>
    </row>
    <row r="75" spans="1:18">
      <c r="Q75" s="8"/>
      <c r="R75" s="8"/>
    </row>
    <row r="76" spans="1:18">
      <c r="Q76" s="8"/>
      <c r="R76" s="8"/>
    </row>
    <row r="77" spans="1:18">
      <c r="Q77" s="8"/>
      <c r="R77" s="8"/>
    </row>
    <row r="78" spans="1:18">
      <c r="Q78" s="8"/>
      <c r="R78" s="8"/>
    </row>
    <row r="79" spans="1:18">
      <c r="Q79" s="8"/>
      <c r="R79" s="8"/>
    </row>
    <row r="80" spans="1:18">
      <c r="Q80" s="8"/>
      <c r="R80" s="8"/>
    </row>
    <row r="81" spans="17:18">
      <c r="Q81" s="8"/>
      <c r="R81" s="8"/>
    </row>
  </sheetData>
  <mergeCells count="8">
    <mergeCell ref="A1:P1"/>
    <mergeCell ref="A2:N2"/>
    <mergeCell ref="A7:B7"/>
    <mergeCell ref="D4:M5"/>
    <mergeCell ref="N4:N5"/>
    <mergeCell ref="A4:A6"/>
    <mergeCell ref="B4:B6"/>
    <mergeCell ref="C4:C6"/>
  </mergeCells>
  <hyperlinks>
    <hyperlink ref="R1" location="INDICE!Área_de_impresión" display="INDICE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">
    <pageSetUpPr autoPageBreaks="0"/>
  </sheetPr>
  <dimension ref="A1:R140"/>
  <sheetViews>
    <sheetView showGridLines="0" zoomScale="90" zoomScaleNormal="90" workbookViewId="0">
      <selection sqref="A1:P1"/>
    </sheetView>
  </sheetViews>
  <sheetFormatPr baseColWidth="10" defaultRowHeight="12.75"/>
  <cols>
    <col min="1" max="1" width="22.140625" style="8" customWidth="1"/>
    <col min="2" max="2" width="29.7109375" style="8" customWidth="1"/>
    <col min="3" max="3" width="23" style="8" bestFit="1" customWidth="1"/>
    <col min="4" max="14" width="13.7109375" style="8" customWidth="1"/>
    <col min="15" max="16" width="13.7109375" style="14" customWidth="1"/>
    <col min="17" max="17" width="1.85546875" style="2" customWidth="1"/>
    <col min="18" max="18" width="11.42578125" style="2"/>
    <col min="19" max="16384" width="11.42578125" style="8"/>
  </cols>
  <sheetData>
    <row r="1" spans="1:18" s="30" customFormat="1" ht="30" customHeight="1">
      <c r="A1" s="346" t="s">
        <v>54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8"/>
      <c r="R1" s="31" t="s">
        <v>134</v>
      </c>
    </row>
    <row r="2" spans="1:18" ht="30" customHeight="1">
      <c r="A2" s="328" t="s">
        <v>263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"/>
      <c r="P2" s="34"/>
      <c r="Q2" s="19"/>
    </row>
    <row r="3" spans="1:18" ht="8.1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  <c r="P3" s="45"/>
    </row>
    <row r="4" spans="1:18" ht="15" customHeight="1">
      <c r="A4" s="384" t="s">
        <v>224</v>
      </c>
      <c r="B4" s="384" t="s">
        <v>225</v>
      </c>
      <c r="C4" s="387" t="s">
        <v>226</v>
      </c>
      <c r="D4" s="311" t="s">
        <v>284</v>
      </c>
      <c r="E4" s="312"/>
      <c r="F4" s="312"/>
      <c r="G4" s="312"/>
      <c r="H4" s="312"/>
      <c r="I4" s="312"/>
      <c r="J4" s="312"/>
      <c r="K4" s="312"/>
      <c r="L4" s="312"/>
      <c r="M4" s="313"/>
      <c r="N4" s="317" t="s">
        <v>285</v>
      </c>
      <c r="O4" s="287" t="s">
        <v>146</v>
      </c>
      <c r="P4" s="288" t="s">
        <v>146</v>
      </c>
      <c r="Q4" s="8"/>
      <c r="R4" s="8"/>
    </row>
    <row r="5" spans="1:18" ht="15" customHeight="1">
      <c r="A5" s="385"/>
      <c r="B5" s="385"/>
      <c r="C5" s="373"/>
      <c r="D5" s="314"/>
      <c r="E5" s="315"/>
      <c r="F5" s="315"/>
      <c r="G5" s="315"/>
      <c r="H5" s="315"/>
      <c r="I5" s="315"/>
      <c r="J5" s="315"/>
      <c r="K5" s="315"/>
      <c r="L5" s="315"/>
      <c r="M5" s="316"/>
      <c r="N5" s="318"/>
      <c r="O5" s="285" t="s">
        <v>286</v>
      </c>
      <c r="P5" s="295" t="s">
        <v>287</v>
      </c>
      <c r="Q5" s="8"/>
      <c r="R5" s="8"/>
    </row>
    <row r="6" spans="1:18" ht="15" customHeight="1">
      <c r="A6" s="386"/>
      <c r="B6" s="386"/>
      <c r="C6" s="374"/>
      <c r="D6" s="298">
        <v>2015</v>
      </c>
      <c r="E6" s="80">
        <v>2016</v>
      </c>
      <c r="F6" s="79">
        <v>2017</v>
      </c>
      <c r="G6" s="80">
        <v>2018</v>
      </c>
      <c r="H6" s="79">
        <v>2019</v>
      </c>
      <c r="I6" s="80">
        <v>2020</v>
      </c>
      <c r="J6" s="79">
        <v>2021</v>
      </c>
      <c r="K6" s="80">
        <v>2022</v>
      </c>
      <c r="L6" s="79">
        <v>2023</v>
      </c>
      <c r="M6" s="80">
        <v>2024</v>
      </c>
      <c r="N6" s="289" t="s">
        <v>76</v>
      </c>
      <c r="O6" s="289" t="s">
        <v>76</v>
      </c>
      <c r="P6" s="290" t="s">
        <v>76</v>
      </c>
      <c r="Q6" s="8"/>
      <c r="R6" s="8"/>
    </row>
    <row r="7" spans="1:18" s="5" customFormat="1" ht="15" customHeight="1">
      <c r="A7" s="349" t="s">
        <v>0</v>
      </c>
      <c r="B7" s="383"/>
      <c r="C7" s="256"/>
      <c r="D7" s="266">
        <v>7580419.7205131222</v>
      </c>
      <c r="E7" s="266">
        <v>7851196.5059910985</v>
      </c>
      <c r="F7" s="266">
        <v>8335592.4451530995</v>
      </c>
      <c r="G7" s="266">
        <v>9076953.8015136681</v>
      </c>
      <c r="H7" s="266">
        <v>9282478.2635677028</v>
      </c>
      <c r="I7" s="266">
        <v>9203307.4293194301</v>
      </c>
      <c r="J7" s="266">
        <v>9583139.0389287472</v>
      </c>
      <c r="K7" s="266">
        <v>9738817.1653385926</v>
      </c>
      <c r="L7" s="266">
        <v>10044845.784919254</v>
      </c>
      <c r="M7" s="266">
        <v>9636506.3346652985</v>
      </c>
      <c r="N7" s="244">
        <v>1</v>
      </c>
      <c r="O7" s="201">
        <v>-4.0651639556976926E-2</v>
      </c>
      <c r="P7" s="201">
        <v>0.27123651327488751</v>
      </c>
    </row>
    <row r="8" spans="1:18" ht="15" customHeight="1">
      <c r="A8" s="160" t="s">
        <v>141</v>
      </c>
      <c r="B8" s="257"/>
      <c r="C8" s="169"/>
      <c r="D8" s="114">
        <v>975880.15088522399</v>
      </c>
      <c r="E8" s="114">
        <v>992256.77959403105</v>
      </c>
      <c r="F8" s="114">
        <v>1024145.66698467</v>
      </c>
      <c r="G8" s="114">
        <v>1080209.02562559</v>
      </c>
      <c r="H8" s="114">
        <v>1087722.7941215001</v>
      </c>
      <c r="I8" s="114">
        <v>1045367.49130994</v>
      </c>
      <c r="J8" s="114">
        <v>1003586.01524371</v>
      </c>
      <c r="K8" s="114">
        <v>1054663.7224862</v>
      </c>
      <c r="L8" s="114">
        <v>1045023.90752787</v>
      </c>
      <c r="M8" s="114">
        <v>1037469.27016457</v>
      </c>
      <c r="N8" s="94">
        <v>0.10766035397945541</v>
      </c>
      <c r="O8" s="94">
        <v>-7.2291526623265989E-3</v>
      </c>
      <c r="P8" s="94">
        <v>6.3111355655177892E-2</v>
      </c>
      <c r="Q8" s="8"/>
      <c r="R8" s="8"/>
    </row>
    <row r="9" spans="1:18" ht="15" customHeight="1">
      <c r="A9" s="161" t="s">
        <v>104</v>
      </c>
      <c r="B9" s="258"/>
      <c r="C9" s="172"/>
      <c r="D9" s="116">
        <v>3139122.6809131801</v>
      </c>
      <c r="E9" s="116">
        <v>3226458.1859055301</v>
      </c>
      <c r="F9" s="116">
        <v>3370781.8975268202</v>
      </c>
      <c r="G9" s="116">
        <v>3658761.6627357299</v>
      </c>
      <c r="H9" s="116">
        <v>3719429.1870156201</v>
      </c>
      <c r="I9" s="116">
        <v>3634212.3800150198</v>
      </c>
      <c r="J9" s="116">
        <v>3656322.51013511</v>
      </c>
      <c r="K9" s="116">
        <v>3847282.3686025501</v>
      </c>
      <c r="L9" s="116">
        <v>4116018.7811645302</v>
      </c>
      <c r="M9" s="116">
        <v>3809356.1636926201</v>
      </c>
      <c r="N9" s="96">
        <v>0.3953048488384745</v>
      </c>
      <c r="O9" s="96">
        <v>-7.4504669141754243E-2</v>
      </c>
      <c r="P9" s="96">
        <v>0.213509808601831</v>
      </c>
      <c r="Q9" s="8"/>
      <c r="R9" s="8"/>
    </row>
    <row r="10" spans="1:18" ht="15" customHeight="1">
      <c r="A10" s="162" t="s">
        <v>2</v>
      </c>
      <c r="B10" s="257"/>
      <c r="C10" s="169"/>
      <c r="D10" s="118">
        <v>3331431.2276332299</v>
      </c>
      <c r="E10" s="118">
        <v>3409056.3419139399</v>
      </c>
      <c r="F10" s="118">
        <v>3587143.0276117399</v>
      </c>
      <c r="G10" s="118">
        <v>3900558.2410959098</v>
      </c>
      <c r="H10" s="118">
        <v>3951601.0242390102</v>
      </c>
      <c r="I10" s="118">
        <v>3958281.83349091</v>
      </c>
      <c r="J10" s="118">
        <v>4100704.8591488898</v>
      </c>
      <c r="K10" s="118">
        <v>4248837.32437112</v>
      </c>
      <c r="L10" s="118">
        <v>4598459.49415485</v>
      </c>
      <c r="M10" s="118">
        <v>4266786.1778759602</v>
      </c>
      <c r="N10" s="97">
        <v>0.44277331722018742</v>
      </c>
      <c r="O10" s="97">
        <v>-7.2127049656625974E-2</v>
      </c>
      <c r="P10" s="97">
        <v>0.28076669945464872</v>
      </c>
      <c r="Q10" s="8"/>
      <c r="R10" s="8"/>
    </row>
    <row r="11" spans="1:18" ht="15" customHeight="1">
      <c r="A11" s="161"/>
      <c r="B11" s="259" t="s">
        <v>93</v>
      </c>
      <c r="C11" s="179"/>
      <c r="D11" s="116">
        <v>232063.62056797641</v>
      </c>
      <c r="E11" s="116">
        <v>238131.72824264251</v>
      </c>
      <c r="F11" s="116">
        <v>252610.66426456961</v>
      </c>
      <c r="G11" s="116">
        <v>276649.00970544398</v>
      </c>
      <c r="H11" s="116">
        <v>279508.66239073983</v>
      </c>
      <c r="I11" s="116">
        <v>285773.7985505184</v>
      </c>
      <c r="J11" s="116">
        <v>295170.1895465795</v>
      </c>
      <c r="K11" s="116">
        <v>278953.27074242808</v>
      </c>
      <c r="L11" s="116">
        <v>331082.2050222822</v>
      </c>
      <c r="M11" s="116">
        <v>285398.68304058112</v>
      </c>
      <c r="N11" s="96">
        <v>2.9616417685841806E-2</v>
      </c>
      <c r="O11" s="96">
        <v>-0.13798241430289659</v>
      </c>
      <c r="P11" s="96">
        <v>0.22982948530263814</v>
      </c>
      <c r="Q11" s="8"/>
      <c r="R11" s="8"/>
    </row>
    <row r="12" spans="1:18" ht="15" customHeight="1">
      <c r="A12" s="162"/>
      <c r="B12" s="260"/>
      <c r="C12" s="183" t="s">
        <v>227</v>
      </c>
      <c r="D12" s="268">
        <v>16728.9508256033</v>
      </c>
      <c r="E12" s="268">
        <v>17704.366447605898</v>
      </c>
      <c r="F12" s="268">
        <v>18732.687576414701</v>
      </c>
      <c r="G12" s="268">
        <v>21259.151085270201</v>
      </c>
      <c r="H12" s="268">
        <v>20269.2505455705</v>
      </c>
      <c r="I12" s="268">
        <v>20292.060327089999</v>
      </c>
      <c r="J12" s="268">
        <v>21584.4719698716</v>
      </c>
      <c r="K12" s="268">
        <v>21601.7401423886</v>
      </c>
      <c r="L12" s="268">
        <v>24546.556045797799</v>
      </c>
      <c r="M12" s="268">
        <v>22082.270115595798</v>
      </c>
      <c r="N12" s="203">
        <v>2.291523311276369E-3</v>
      </c>
      <c r="O12" s="203">
        <v>-0.10039232899329142</v>
      </c>
      <c r="P12" s="203">
        <v>0.32000328925585442</v>
      </c>
      <c r="Q12" s="8"/>
      <c r="R12" s="8"/>
    </row>
    <row r="13" spans="1:18" ht="15" customHeight="1">
      <c r="A13" s="161"/>
      <c r="B13" s="259"/>
      <c r="C13" s="179" t="s">
        <v>228</v>
      </c>
      <c r="D13" s="267">
        <v>10029.109158777101</v>
      </c>
      <c r="E13" s="267">
        <v>10379.198826662599</v>
      </c>
      <c r="F13" s="267">
        <v>10764.085278295899</v>
      </c>
      <c r="G13" s="267">
        <v>11791.470697406799</v>
      </c>
      <c r="H13" s="267">
        <v>11635.0908085353</v>
      </c>
      <c r="I13" s="267">
        <v>11873.688668590399</v>
      </c>
      <c r="J13" s="267">
        <v>12671.404551129899</v>
      </c>
      <c r="K13" s="267">
        <v>13202.171931881499</v>
      </c>
      <c r="L13" s="267">
        <v>14948.771318364399</v>
      </c>
      <c r="M13" s="267">
        <v>14517.678163062301</v>
      </c>
      <c r="N13" s="202">
        <v>1.5065297979834794E-3</v>
      </c>
      <c r="O13" s="202">
        <v>-2.8838032646369083E-2</v>
      </c>
      <c r="P13" s="202">
        <v>0.44755410806920692</v>
      </c>
      <c r="Q13" s="8"/>
      <c r="R13" s="8"/>
    </row>
    <row r="14" spans="1:18" ht="15" customHeight="1">
      <c r="A14" s="162"/>
      <c r="B14" s="260"/>
      <c r="C14" s="183" t="s">
        <v>229</v>
      </c>
      <c r="D14" s="268">
        <v>205305.560583596</v>
      </c>
      <c r="E14" s="268">
        <v>210048.162968374</v>
      </c>
      <c r="F14" s="268">
        <v>223113.891409859</v>
      </c>
      <c r="G14" s="268">
        <v>243598.387922767</v>
      </c>
      <c r="H14" s="268">
        <v>247604.32103663401</v>
      </c>
      <c r="I14" s="268">
        <v>253608.04955483801</v>
      </c>
      <c r="J14" s="268">
        <v>260914.31302557801</v>
      </c>
      <c r="K14" s="268">
        <v>244149.35866815801</v>
      </c>
      <c r="L14" s="268">
        <v>291586.87765812001</v>
      </c>
      <c r="M14" s="268">
        <v>248798.734761923</v>
      </c>
      <c r="N14" s="203">
        <v>2.5818364576581956E-2</v>
      </c>
      <c r="O14" s="203">
        <v>-0.14674234739179615</v>
      </c>
      <c r="P14" s="203">
        <v>0.21184606035362363</v>
      </c>
      <c r="Q14" s="8"/>
      <c r="R14" s="8"/>
    </row>
    <row r="15" spans="1:18" ht="15" customHeight="1">
      <c r="A15" s="161"/>
      <c r="B15" s="259" t="s">
        <v>94</v>
      </c>
      <c r="C15" s="179"/>
      <c r="D15" s="116">
        <v>390087.54159595264</v>
      </c>
      <c r="E15" s="116">
        <v>400520.25612401502</v>
      </c>
      <c r="F15" s="116">
        <v>422188.17727335129</v>
      </c>
      <c r="G15" s="116">
        <v>455194.72088858031</v>
      </c>
      <c r="H15" s="116">
        <v>467042.29253184405</v>
      </c>
      <c r="I15" s="116">
        <v>460163.05148925429</v>
      </c>
      <c r="J15" s="116">
        <v>463770.36826305604</v>
      </c>
      <c r="K15" s="116">
        <v>487967.30930299952</v>
      </c>
      <c r="L15" s="116">
        <v>505268.50770941505</v>
      </c>
      <c r="M15" s="116">
        <v>489640.74330590613</v>
      </c>
      <c r="N15" s="96">
        <v>5.0811043047776776E-2</v>
      </c>
      <c r="O15" s="96">
        <v>-3.0929622893688391E-2</v>
      </c>
      <c r="P15" s="96">
        <v>0.25520733449382837</v>
      </c>
      <c r="Q15" s="8"/>
      <c r="R15" s="8"/>
    </row>
    <row r="16" spans="1:18" ht="15" customHeight="1">
      <c r="A16" s="162"/>
      <c r="B16" s="260"/>
      <c r="C16" s="183" t="s">
        <v>230</v>
      </c>
      <c r="D16" s="268">
        <v>52530.052850799701</v>
      </c>
      <c r="E16" s="268">
        <v>56194.1595618188</v>
      </c>
      <c r="F16" s="268">
        <v>59889.653829860399</v>
      </c>
      <c r="G16" s="268">
        <v>66964.344528994799</v>
      </c>
      <c r="H16" s="268">
        <v>68374.180312349607</v>
      </c>
      <c r="I16" s="268">
        <v>69919.637922038499</v>
      </c>
      <c r="J16" s="268">
        <v>76767.173793498107</v>
      </c>
      <c r="K16" s="268">
        <v>78597.825522138504</v>
      </c>
      <c r="L16" s="268">
        <v>98816.992505402595</v>
      </c>
      <c r="M16" s="268">
        <v>85781.577257691199</v>
      </c>
      <c r="N16" s="203">
        <v>8.9017335144915451E-3</v>
      </c>
      <c r="O16" s="203">
        <v>-0.13191471342338934</v>
      </c>
      <c r="P16" s="203">
        <v>0.63300001812934181</v>
      </c>
      <c r="Q16" s="8"/>
      <c r="R16" s="8"/>
    </row>
    <row r="17" spans="1:18" ht="15" customHeight="1">
      <c r="A17" s="161"/>
      <c r="B17" s="259"/>
      <c r="C17" s="179" t="s">
        <v>231</v>
      </c>
      <c r="D17" s="267">
        <v>32100.309041365599</v>
      </c>
      <c r="E17" s="267">
        <v>32303.827674019201</v>
      </c>
      <c r="F17" s="267">
        <v>34581.830639145803</v>
      </c>
      <c r="G17" s="267">
        <v>37771.814687674698</v>
      </c>
      <c r="H17" s="267">
        <v>39036.638581869498</v>
      </c>
      <c r="I17" s="267">
        <v>38143.8927637948</v>
      </c>
      <c r="J17" s="267">
        <v>38989.750837298903</v>
      </c>
      <c r="K17" s="267">
        <v>41833.390004751003</v>
      </c>
      <c r="L17" s="267">
        <v>42146.6760438645</v>
      </c>
      <c r="M17" s="267">
        <v>41492.640793755898</v>
      </c>
      <c r="N17" s="202">
        <v>4.3057780349383748E-3</v>
      </c>
      <c r="O17" s="202">
        <v>-1.5518074294350259E-2</v>
      </c>
      <c r="P17" s="202">
        <v>0.2925931878190644</v>
      </c>
      <c r="Q17" s="8"/>
      <c r="R17" s="8"/>
    </row>
    <row r="18" spans="1:18" ht="15" customHeight="1">
      <c r="A18" s="162"/>
      <c r="B18" s="260"/>
      <c r="C18" s="183" t="s">
        <v>232</v>
      </c>
      <c r="D18" s="268">
        <v>120216.76578231801</v>
      </c>
      <c r="E18" s="268">
        <v>121684.202394801</v>
      </c>
      <c r="F18" s="268">
        <v>127209.581913291</v>
      </c>
      <c r="G18" s="268">
        <v>133381.386840911</v>
      </c>
      <c r="H18" s="268">
        <v>137025.56150894999</v>
      </c>
      <c r="I18" s="268">
        <v>133116.354729229</v>
      </c>
      <c r="J18" s="268">
        <v>129572.116928423</v>
      </c>
      <c r="K18" s="268">
        <v>140785.134750975</v>
      </c>
      <c r="L18" s="268">
        <v>135838.54764951699</v>
      </c>
      <c r="M18" s="268">
        <v>135361.307921598</v>
      </c>
      <c r="N18" s="203">
        <v>1.4046725763404667E-2</v>
      </c>
      <c r="O18" s="203">
        <v>-3.5132864431850486E-3</v>
      </c>
      <c r="P18" s="203">
        <v>0.12597695538326903</v>
      </c>
      <c r="Q18" s="8"/>
      <c r="R18" s="8"/>
    </row>
    <row r="19" spans="1:18" ht="15" customHeight="1">
      <c r="A19" s="161"/>
      <c r="B19" s="259"/>
      <c r="C19" s="179" t="s">
        <v>233</v>
      </c>
      <c r="D19" s="267">
        <v>77881.472247012396</v>
      </c>
      <c r="E19" s="267">
        <v>81438.655855938006</v>
      </c>
      <c r="F19" s="267">
        <v>89144.329952473097</v>
      </c>
      <c r="G19" s="267">
        <v>99619.206018006793</v>
      </c>
      <c r="H19" s="267">
        <v>103647.705644138</v>
      </c>
      <c r="I19" s="267">
        <v>102612.647638305</v>
      </c>
      <c r="J19" s="267">
        <v>105560.511498582</v>
      </c>
      <c r="K19" s="267">
        <v>110580.68155323299</v>
      </c>
      <c r="L19" s="267">
        <v>115056.54897022901</v>
      </c>
      <c r="M19" s="267">
        <v>112759.48568111401</v>
      </c>
      <c r="N19" s="202">
        <v>1.1701287442513248E-2</v>
      </c>
      <c r="O19" s="202">
        <v>-1.9964646164638333E-2</v>
      </c>
      <c r="P19" s="202">
        <v>0.44783454174416382</v>
      </c>
      <c r="Q19" s="8"/>
      <c r="R19" s="8"/>
    </row>
    <row r="20" spans="1:18" ht="15" customHeight="1">
      <c r="A20" s="162"/>
      <c r="B20" s="260"/>
      <c r="C20" s="183" t="s">
        <v>234</v>
      </c>
      <c r="D20" s="268">
        <v>107358.941674457</v>
      </c>
      <c r="E20" s="268">
        <v>108899.41063743801</v>
      </c>
      <c r="F20" s="268">
        <v>111362.780938581</v>
      </c>
      <c r="G20" s="268">
        <v>117457.968812993</v>
      </c>
      <c r="H20" s="268">
        <v>118958.206484537</v>
      </c>
      <c r="I20" s="268">
        <v>116370.518435887</v>
      </c>
      <c r="J20" s="268">
        <v>112880.815205254</v>
      </c>
      <c r="K20" s="268">
        <v>116170.27747190199</v>
      </c>
      <c r="L20" s="268">
        <v>113409.742540402</v>
      </c>
      <c r="M20" s="268">
        <v>114245.731651747</v>
      </c>
      <c r="N20" s="203">
        <v>1.1855518292428934E-2</v>
      </c>
      <c r="O20" s="203">
        <v>7.3714047190185372E-3</v>
      </c>
      <c r="P20" s="203">
        <v>6.414733481792978E-2</v>
      </c>
      <c r="Q20" s="8"/>
      <c r="R20" s="8"/>
    </row>
    <row r="21" spans="1:18" ht="15" customHeight="1">
      <c r="A21" s="161"/>
      <c r="B21" s="259" t="s">
        <v>95</v>
      </c>
      <c r="C21" s="179"/>
      <c r="D21" s="116">
        <v>215429.98201739334</v>
      </c>
      <c r="E21" s="116">
        <v>223629.3806725583</v>
      </c>
      <c r="F21" s="116">
        <v>240169.43695982889</v>
      </c>
      <c r="G21" s="116">
        <v>271887.09676426067</v>
      </c>
      <c r="H21" s="116">
        <v>284284.3498056531</v>
      </c>
      <c r="I21" s="116">
        <v>280075.74420573731</v>
      </c>
      <c r="J21" s="116">
        <v>277122.81051922991</v>
      </c>
      <c r="K21" s="116">
        <v>297066.11801722262</v>
      </c>
      <c r="L21" s="116">
        <v>340471.75490092358</v>
      </c>
      <c r="M21" s="116">
        <v>303441.04336378182</v>
      </c>
      <c r="N21" s="96">
        <v>3.1488711116482451E-2</v>
      </c>
      <c r="O21" s="96">
        <v>-0.10876294730503444</v>
      </c>
      <c r="P21" s="96">
        <v>0.40853673440534699</v>
      </c>
      <c r="Q21" s="8"/>
      <c r="R21" s="8"/>
    </row>
    <row r="22" spans="1:18" ht="15" customHeight="1">
      <c r="A22" s="162"/>
      <c r="B22" s="260"/>
      <c r="C22" s="183" t="s">
        <v>235</v>
      </c>
      <c r="D22" s="268">
        <v>16681.295695749701</v>
      </c>
      <c r="E22" s="268">
        <v>17785.139154754801</v>
      </c>
      <c r="F22" s="268">
        <v>19784.571687096599</v>
      </c>
      <c r="G22" s="268">
        <v>22617.060721635</v>
      </c>
      <c r="H22" s="268">
        <v>24368.001120933699</v>
      </c>
      <c r="I22" s="268">
        <v>25459.4951034429</v>
      </c>
      <c r="J22" s="268">
        <v>27222.3108060005</v>
      </c>
      <c r="K22" s="268">
        <v>29531.6955359034</v>
      </c>
      <c r="L22" s="268">
        <v>35890.145958069697</v>
      </c>
      <c r="M22" s="268">
        <v>34181.395411553</v>
      </c>
      <c r="N22" s="203">
        <v>3.547074824621829E-3</v>
      </c>
      <c r="O22" s="203">
        <v>-4.7610576689017248E-2</v>
      </c>
      <c r="P22" s="203">
        <v>1.0490851571117599</v>
      </c>
      <c r="Q22" s="8"/>
      <c r="R22" s="8"/>
    </row>
    <row r="23" spans="1:18" ht="15" customHeight="1">
      <c r="A23" s="161"/>
      <c r="B23" s="259"/>
      <c r="C23" s="179" t="s">
        <v>236</v>
      </c>
      <c r="D23" s="267">
        <v>64899.773926329202</v>
      </c>
      <c r="E23" s="267">
        <v>67528.016158235594</v>
      </c>
      <c r="F23" s="267">
        <v>70160.274751742501</v>
      </c>
      <c r="G23" s="267">
        <v>80512.067303965596</v>
      </c>
      <c r="H23" s="267">
        <v>83659.522486850605</v>
      </c>
      <c r="I23" s="267">
        <v>80634.015506691707</v>
      </c>
      <c r="J23" s="267">
        <v>83536.986946535704</v>
      </c>
      <c r="K23" s="267">
        <v>91294.642460396601</v>
      </c>
      <c r="L23" s="267">
        <v>96391.507953111402</v>
      </c>
      <c r="M23" s="267">
        <v>88725.596530560899</v>
      </c>
      <c r="N23" s="202">
        <v>9.207240546029177E-3</v>
      </c>
      <c r="O23" s="202">
        <v>-7.952890856608974E-2</v>
      </c>
      <c r="P23" s="202">
        <v>0.36711718951868022</v>
      </c>
      <c r="Q23" s="8"/>
      <c r="R23" s="8"/>
    </row>
    <row r="24" spans="1:18" ht="15" customHeight="1">
      <c r="A24" s="162"/>
      <c r="B24" s="260"/>
      <c r="C24" s="183" t="s">
        <v>237</v>
      </c>
      <c r="D24" s="268">
        <v>57869.046135525903</v>
      </c>
      <c r="E24" s="268">
        <v>60510.899142378301</v>
      </c>
      <c r="F24" s="268">
        <v>63556.2352854684</v>
      </c>
      <c r="G24" s="268">
        <v>71400.4033370377</v>
      </c>
      <c r="H24" s="268">
        <v>76167.325032257795</v>
      </c>
      <c r="I24" s="268">
        <v>73058.886931110697</v>
      </c>
      <c r="J24" s="268">
        <v>75968.340318322604</v>
      </c>
      <c r="K24" s="268">
        <v>82513.671295583597</v>
      </c>
      <c r="L24" s="268">
        <v>91700.329644835496</v>
      </c>
      <c r="M24" s="268">
        <v>81503.643205244603</v>
      </c>
      <c r="N24" s="203">
        <v>8.4578033590334382E-3</v>
      </c>
      <c r="O24" s="203">
        <v>-0.11119574465090443</v>
      </c>
      <c r="P24" s="203">
        <v>0.40841518303875035</v>
      </c>
      <c r="Q24" s="8"/>
      <c r="R24" s="8"/>
    </row>
    <row r="25" spans="1:18" ht="15" customHeight="1">
      <c r="A25" s="161"/>
      <c r="B25" s="259"/>
      <c r="C25" s="179" t="s">
        <v>238</v>
      </c>
      <c r="D25" s="267">
        <v>75979.866259788498</v>
      </c>
      <c r="E25" s="267">
        <v>77805.326217189606</v>
      </c>
      <c r="F25" s="267">
        <v>86668.355235521405</v>
      </c>
      <c r="G25" s="267">
        <v>97357.5654016224</v>
      </c>
      <c r="H25" s="267">
        <v>100089.501165611</v>
      </c>
      <c r="I25" s="267">
        <v>100923.346664492</v>
      </c>
      <c r="J25" s="267">
        <v>90395.1724483711</v>
      </c>
      <c r="K25" s="267">
        <v>93726.108725339</v>
      </c>
      <c r="L25" s="267">
        <v>116489.771344907</v>
      </c>
      <c r="M25" s="267">
        <v>99030.408216423297</v>
      </c>
      <c r="N25" s="202">
        <v>1.0276592386798004E-2</v>
      </c>
      <c r="O25" s="202">
        <v>-0.14987893723981494</v>
      </c>
      <c r="P25" s="202">
        <v>0.30337697460299484</v>
      </c>
      <c r="Q25" s="8"/>
      <c r="R25" s="8"/>
    </row>
    <row r="26" spans="1:18" ht="15" customHeight="1">
      <c r="A26" s="162"/>
      <c r="B26" s="260" t="s">
        <v>96</v>
      </c>
      <c r="C26" s="183"/>
      <c r="D26" s="118">
        <v>293467.67084945051</v>
      </c>
      <c r="E26" s="118">
        <v>305425.46054016345</v>
      </c>
      <c r="F26" s="118">
        <v>314616.85845866834</v>
      </c>
      <c r="G26" s="118">
        <v>343445.81281976477</v>
      </c>
      <c r="H26" s="118">
        <v>351966.42818701768</v>
      </c>
      <c r="I26" s="118">
        <v>343527.86371292832</v>
      </c>
      <c r="J26" s="118">
        <v>364797.18756284623</v>
      </c>
      <c r="K26" s="118">
        <v>387550.6156072205</v>
      </c>
      <c r="L26" s="118">
        <v>418903.84950947278</v>
      </c>
      <c r="M26" s="118">
        <v>379023.51225394889</v>
      </c>
      <c r="N26" s="97">
        <v>3.9332061844418502E-2</v>
      </c>
      <c r="O26" s="97">
        <v>-9.5201649023332946E-2</v>
      </c>
      <c r="P26" s="97">
        <v>0.29153412761567421</v>
      </c>
      <c r="Q26" s="8"/>
      <c r="R26" s="8"/>
    </row>
    <row r="27" spans="1:18" ht="15" customHeight="1">
      <c r="A27" s="161"/>
      <c r="B27" s="259"/>
      <c r="C27" s="179" t="s">
        <v>239</v>
      </c>
      <c r="D27" s="116">
        <v>29516.637089542</v>
      </c>
      <c r="E27" s="116">
        <v>32096.435989564601</v>
      </c>
      <c r="F27" s="116">
        <v>32567.3058600556</v>
      </c>
      <c r="G27" s="116">
        <v>37507.005809920702</v>
      </c>
      <c r="H27" s="116">
        <v>39508.577186275601</v>
      </c>
      <c r="I27" s="116">
        <v>37793.470091872499</v>
      </c>
      <c r="J27" s="116">
        <v>39009.249376633103</v>
      </c>
      <c r="K27" s="116">
        <v>42177.160435039397</v>
      </c>
      <c r="L27" s="116">
        <v>45933.831005172702</v>
      </c>
      <c r="M27" s="116">
        <v>41389.7333059132</v>
      </c>
      <c r="N27" s="96">
        <v>4.2950991098975166E-3</v>
      </c>
      <c r="O27" s="96">
        <v>-9.8927034819886517E-2</v>
      </c>
      <c r="P27" s="96">
        <v>0.40225098070463927</v>
      </c>
      <c r="Q27" s="8"/>
      <c r="R27" s="8"/>
    </row>
    <row r="28" spans="1:18" ht="15" customHeight="1">
      <c r="A28" s="162"/>
      <c r="B28" s="260"/>
      <c r="C28" s="183" t="s">
        <v>240</v>
      </c>
      <c r="D28" s="268">
        <v>36412.822929002999</v>
      </c>
      <c r="E28" s="268">
        <v>38573.591478814698</v>
      </c>
      <c r="F28" s="268">
        <v>39559.020214825898</v>
      </c>
      <c r="G28" s="268">
        <v>45085.864721039201</v>
      </c>
      <c r="H28" s="268">
        <v>47263.057148403197</v>
      </c>
      <c r="I28" s="268">
        <v>47153.1446928324</v>
      </c>
      <c r="J28" s="268">
        <v>67721.738436956395</v>
      </c>
      <c r="K28" s="268">
        <v>67959.491854431995</v>
      </c>
      <c r="L28" s="268">
        <v>78727.277563766896</v>
      </c>
      <c r="M28" s="268">
        <v>69581.919542517702</v>
      </c>
      <c r="N28" s="203">
        <v>7.2206611838528363E-3</v>
      </c>
      <c r="O28" s="203">
        <v>-0.11616504856073184</v>
      </c>
      <c r="P28" s="203">
        <v>0.91091802132966038</v>
      </c>
      <c r="Q28" s="8"/>
      <c r="R28" s="8"/>
    </row>
    <row r="29" spans="1:18" ht="15" customHeight="1">
      <c r="A29" s="161"/>
      <c r="B29" s="259"/>
      <c r="C29" s="179" t="s">
        <v>241</v>
      </c>
      <c r="D29" s="267">
        <v>93272.2436179574</v>
      </c>
      <c r="E29" s="267">
        <v>95536.475441257397</v>
      </c>
      <c r="F29" s="267">
        <v>98735.390439856797</v>
      </c>
      <c r="G29" s="267">
        <v>105207.28608368699</v>
      </c>
      <c r="H29" s="267">
        <v>105532.676913631</v>
      </c>
      <c r="I29" s="267">
        <v>102751.47346670199</v>
      </c>
      <c r="J29" s="267">
        <v>101940.344220068</v>
      </c>
      <c r="K29" s="267">
        <v>111679.19269745699</v>
      </c>
      <c r="L29" s="267">
        <v>116491.409534142</v>
      </c>
      <c r="M29" s="267">
        <v>108187.90742442</v>
      </c>
      <c r="N29" s="202">
        <v>1.1226885214404472E-2</v>
      </c>
      <c r="O29" s="202">
        <v>-7.1279952255091872E-2</v>
      </c>
      <c r="P29" s="202">
        <v>0.15991535346310615</v>
      </c>
      <c r="Q29" s="8"/>
      <c r="R29" s="8"/>
    </row>
    <row r="30" spans="1:18" ht="15" customHeight="1">
      <c r="A30" s="162"/>
      <c r="B30" s="260"/>
      <c r="C30" s="183" t="s">
        <v>242</v>
      </c>
      <c r="D30" s="268">
        <v>49924.732041195603</v>
      </c>
      <c r="E30" s="268">
        <v>53010.2453356845</v>
      </c>
      <c r="F30" s="268">
        <v>54506.253668159901</v>
      </c>
      <c r="G30" s="268">
        <v>60822.757256590601</v>
      </c>
      <c r="H30" s="268">
        <v>63191.476877377398</v>
      </c>
      <c r="I30" s="268">
        <v>61944.182044134301</v>
      </c>
      <c r="J30" s="268">
        <v>63184.5926655535</v>
      </c>
      <c r="K30" s="268">
        <v>65920.722965934197</v>
      </c>
      <c r="L30" s="268">
        <v>72987.031251000197</v>
      </c>
      <c r="M30" s="268">
        <v>65715.493168164801</v>
      </c>
      <c r="N30" s="203">
        <v>6.8194340400047054E-3</v>
      </c>
      <c r="O30" s="203">
        <v>-9.96278100122856E-2</v>
      </c>
      <c r="P30" s="203">
        <v>0.3162913546323971</v>
      </c>
      <c r="Q30" s="8"/>
      <c r="R30" s="8"/>
    </row>
    <row r="31" spans="1:18" ht="15" customHeight="1">
      <c r="A31" s="161"/>
      <c r="B31" s="259"/>
      <c r="C31" s="179" t="s">
        <v>243</v>
      </c>
      <c r="D31" s="267">
        <v>84341.235171752502</v>
      </c>
      <c r="E31" s="267">
        <v>86208.712294842204</v>
      </c>
      <c r="F31" s="267">
        <v>89248.888275770194</v>
      </c>
      <c r="G31" s="267">
        <v>94822.898948527305</v>
      </c>
      <c r="H31" s="267">
        <v>96470.640061330501</v>
      </c>
      <c r="I31" s="267">
        <v>93885.593417387106</v>
      </c>
      <c r="J31" s="267">
        <v>92941.262863635202</v>
      </c>
      <c r="K31" s="267">
        <v>99814.047654357899</v>
      </c>
      <c r="L31" s="267">
        <v>104764.300155391</v>
      </c>
      <c r="M31" s="267">
        <v>94148.458812933197</v>
      </c>
      <c r="N31" s="202">
        <v>9.7699822962589722E-3</v>
      </c>
      <c r="O31" s="202">
        <v>-0.10133071405728789</v>
      </c>
      <c r="P31" s="202">
        <v>0.11628029422629704</v>
      </c>
      <c r="Q31" s="8"/>
      <c r="R31" s="8"/>
    </row>
    <row r="32" spans="1:18" ht="15" customHeight="1">
      <c r="A32" s="162"/>
      <c r="B32" s="260" t="s">
        <v>97</v>
      </c>
      <c r="C32" s="183"/>
      <c r="D32" s="118">
        <v>155429.2038094734</v>
      </c>
      <c r="E32" s="118">
        <v>159976.56269929139</v>
      </c>
      <c r="F32" s="118">
        <v>167472.71523526742</v>
      </c>
      <c r="G32" s="118">
        <v>179910.25394558429</v>
      </c>
      <c r="H32" s="118">
        <v>182645.22594308679</v>
      </c>
      <c r="I32" s="118">
        <v>178125.3940077908</v>
      </c>
      <c r="J32" s="118">
        <v>181051.2029250841</v>
      </c>
      <c r="K32" s="118">
        <v>194155.1963113118</v>
      </c>
      <c r="L32" s="118">
        <v>213402.20992406239</v>
      </c>
      <c r="M32" s="118">
        <v>189328.53411827527</v>
      </c>
      <c r="N32" s="97">
        <v>1.9647017591520186E-2</v>
      </c>
      <c r="O32" s="97">
        <v>-0.11280893395787028</v>
      </c>
      <c r="P32" s="97">
        <v>0.21810142159871049</v>
      </c>
      <c r="Q32" s="8"/>
      <c r="R32" s="8"/>
    </row>
    <row r="33" spans="1:18" ht="15" customHeight="1">
      <c r="A33" s="161"/>
      <c r="B33" s="259"/>
      <c r="C33" s="179" t="s">
        <v>244</v>
      </c>
      <c r="D33" s="267">
        <v>35033.853030217397</v>
      </c>
      <c r="E33" s="267">
        <v>36532.254961694402</v>
      </c>
      <c r="F33" s="267">
        <v>38078.755778373503</v>
      </c>
      <c r="G33" s="267">
        <v>41564.623366777902</v>
      </c>
      <c r="H33" s="267">
        <v>42608.694361626098</v>
      </c>
      <c r="I33" s="267">
        <v>41233.066278524602</v>
      </c>
      <c r="J33" s="267">
        <v>41854.293818356498</v>
      </c>
      <c r="K33" s="267">
        <v>47472.267351802402</v>
      </c>
      <c r="L33" s="267">
        <v>49958.172107505998</v>
      </c>
      <c r="M33" s="267">
        <v>45613.546271030697</v>
      </c>
      <c r="N33" s="202">
        <v>4.7334130070363E-3</v>
      </c>
      <c r="O33" s="202">
        <v>-8.6965268207291779E-2</v>
      </c>
      <c r="P33" s="202">
        <v>0.30198486109101674</v>
      </c>
      <c r="Q33" s="8"/>
      <c r="R33" s="8"/>
    </row>
    <row r="34" spans="1:18" ht="15" customHeight="1">
      <c r="A34" s="162"/>
      <c r="B34" s="260"/>
      <c r="C34" s="183" t="s">
        <v>245</v>
      </c>
      <c r="D34" s="268">
        <v>42703.278767655102</v>
      </c>
      <c r="E34" s="268">
        <v>44251.039518060999</v>
      </c>
      <c r="F34" s="268">
        <v>46460.257333339803</v>
      </c>
      <c r="G34" s="268">
        <v>50117.235341339503</v>
      </c>
      <c r="H34" s="268">
        <v>50606.039904843899</v>
      </c>
      <c r="I34" s="268">
        <v>49428.689746871103</v>
      </c>
      <c r="J34" s="268">
        <v>50381.0717710893</v>
      </c>
      <c r="K34" s="268">
        <v>52773.6939676689</v>
      </c>
      <c r="L34" s="268">
        <v>59891.227697785398</v>
      </c>
      <c r="M34" s="268">
        <v>52345.022287185697</v>
      </c>
      <c r="N34" s="203">
        <v>5.4319523387974262E-3</v>
      </c>
      <c r="O34" s="203">
        <v>-0.12599850930888057</v>
      </c>
      <c r="P34" s="203">
        <v>0.22578461883431711</v>
      </c>
      <c r="Q34" s="8"/>
      <c r="R34" s="8"/>
    </row>
    <row r="35" spans="1:18" ht="15" customHeight="1">
      <c r="A35" s="161"/>
      <c r="B35" s="259"/>
      <c r="C35" s="179" t="s">
        <v>246</v>
      </c>
      <c r="D35" s="267">
        <v>77692.072011600903</v>
      </c>
      <c r="E35" s="267">
        <v>79193.268219535996</v>
      </c>
      <c r="F35" s="267">
        <v>82933.702123554103</v>
      </c>
      <c r="G35" s="267">
        <v>88228.395237466902</v>
      </c>
      <c r="H35" s="267">
        <v>89430.491676616803</v>
      </c>
      <c r="I35" s="267">
        <v>87463.637982395099</v>
      </c>
      <c r="J35" s="267">
        <v>88815.837335638294</v>
      </c>
      <c r="K35" s="267">
        <v>93909.234991840494</v>
      </c>
      <c r="L35" s="267">
        <v>103552.810118771</v>
      </c>
      <c r="M35" s="267">
        <v>91369.965560058903</v>
      </c>
      <c r="N35" s="202">
        <v>9.4816522456864644E-3</v>
      </c>
      <c r="O35" s="202">
        <v>-0.11764861373379298</v>
      </c>
      <c r="P35" s="202">
        <v>0.17605262923629628</v>
      </c>
      <c r="Q35" s="8"/>
      <c r="R35" s="8"/>
    </row>
    <row r="36" spans="1:18" ht="15" customHeight="1">
      <c r="A36" s="162"/>
      <c r="B36" s="260" t="s">
        <v>98</v>
      </c>
      <c r="C36" s="183"/>
      <c r="D36" s="118">
        <v>89611.507971672661</v>
      </c>
      <c r="E36" s="118">
        <v>94143.715847833286</v>
      </c>
      <c r="F36" s="118">
        <v>100252.44711726275</v>
      </c>
      <c r="G36" s="118">
        <v>117193.5341858614</v>
      </c>
      <c r="H36" s="118">
        <v>120063.2221952939</v>
      </c>
      <c r="I36" s="118">
        <v>120287.72933328661</v>
      </c>
      <c r="J36" s="118">
        <v>128324.34529611809</v>
      </c>
      <c r="K36" s="118">
        <v>140019.38852222031</v>
      </c>
      <c r="L36" s="118">
        <v>164623.07132700391</v>
      </c>
      <c r="M36" s="118">
        <v>148222.2183580898</v>
      </c>
      <c r="N36" s="97">
        <v>1.538132931254993E-2</v>
      </c>
      <c r="O36" s="97">
        <v>-9.9626697744788162E-2</v>
      </c>
      <c r="P36" s="97">
        <v>0.6540533879303172</v>
      </c>
      <c r="Q36" s="8"/>
      <c r="R36" s="8"/>
    </row>
    <row r="37" spans="1:18" ht="15" customHeight="1">
      <c r="A37" s="161"/>
      <c r="B37" s="259"/>
      <c r="C37" s="179" t="s">
        <v>247</v>
      </c>
      <c r="D37" s="267">
        <v>44086.975240405802</v>
      </c>
      <c r="E37" s="267">
        <v>45458.604177706096</v>
      </c>
      <c r="F37" s="267">
        <v>47616.611421195397</v>
      </c>
      <c r="G37" s="267">
        <v>53940.713388873301</v>
      </c>
      <c r="H37" s="267">
        <v>55626.6084657065</v>
      </c>
      <c r="I37" s="267">
        <v>54722.692181820501</v>
      </c>
      <c r="J37" s="267">
        <v>55669.165095081298</v>
      </c>
      <c r="K37" s="267">
        <v>59692.401069332402</v>
      </c>
      <c r="L37" s="267">
        <v>67292.033105956303</v>
      </c>
      <c r="M37" s="267">
        <v>60800.095073263001</v>
      </c>
      <c r="N37" s="202">
        <v>6.3093529088661176E-3</v>
      </c>
      <c r="O37" s="202">
        <v>-9.6474095565982743E-2</v>
      </c>
      <c r="P37" s="202">
        <v>0.37909427312081934</v>
      </c>
      <c r="Q37" s="8"/>
      <c r="R37" s="8"/>
    </row>
    <row r="38" spans="1:18" ht="15" customHeight="1">
      <c r="A38" s="162"/>
      <c r="B38" s="260"/>
      <c r="C38" s="183" t="s">
        <v>248</v>
      </c>
      <c r="D38" s="268">
        <v>25411.677924367399</v>
      </c>
      <c r="E38" s="268">
        <v>26833.003304180598</v>
      </c>
      <c r="F38" s="268">
        <v>29028.027951937402</v>
      </c>
      <c r="G38" s="268">
        <v>34135.809334347199</v>
      </c>
      <c r="H38" s="268">
        <v>35466.140260165703</v>
      </c>
      <c r="I38" s="268">
        <v>35235.436329579301</v>
      </c>
      <c r="J38" s="268">
        <v>38736.745785246698</v>
      </c>
      <c r="K38" s="268">
        <v>43458.006819416602</v>
      </c>
      <c r="L38" s="268">
        <v>50583.066066378102</v>
      </c>
      <c r="M38" s="268">
        <v>46368.243072065299</v>
      </c>
      <c r="N38" s="203">
        <v>4.8117294710349496E-3</v>
      </c>
      <c r="O38" s="203">
        <v>-8.3324782819251486E-2</v>
      </c>
      <c r="P38" s="203">
        <v>0.82468246331748651</v>
      </c>
      <c r="Q38" s="8"/>
      <c r="R38" s="8"/>
    </row>
    <row r="39" spans="1:18" ht="15" customHeight="1">
      <c r="A39" s="161"/>
      <c r="B39" s="259"/>
      <c r="C39" s="179" t="s">
        <v>249</v>
      </c>
      <c r="D39" s="267">
        <v>7686.1916443989603</v>
      </c>
      <c r="E39" s="267">
        <v>8382.5201155381892</v>
      </c>
      <c r="F39" s="267">
        <v>9051.9890345102594</v>
      </c>
      <c r="G39" s="267">
        <v>11662.344481214501</v>
      </c>
      <c r="H39" s="267">
        <v>11634.4356630003</v>
      </c>
      <c r="I39" s="267">
        <v>12061.180152520899</v>
      </c>
      <c r="J39" s="267">
        <v>13247.410225652</v>
      </c>
      <c r="K39" s="267">
        <v>14085.4640213987</v>
      </c>
      <c r="L39" s="267">
        <v>15413.6941228823</v>
      </c>
      <c r="M39" s="267">
        <v>15288.881447342401</v>
      </c>
      <c r="N39" s="202">
        <v>1.5865591742391671E-3</v>
      </c>
      <c r="O39" s="202">
        <v>-8.0975186444506297E-3</v>
      </c>
      <c r="P39" s="202">
        <v>0.98913612289170949</v>
      </c>
      <c r="Q39" s="8"/>
      <c r="R39" s="8"/>
    </row>
    <row r="40" spans="1:18" ht="15" customHeight="1">
      <c r="A40" s="162"/>
      <c r="B40" s="260"/>
      <c r="C40" s="183" t="s">
        <v>250</v>
      </c>
      <c r="D40" s="268">
        <v>12426.663162500499</v>
      </c>
      <c r="E40" s="268">
        <v>13469.5882504084</v>
      </c>
      <c r="F40" s="268">
        <v>14555.8187096197</v>
      </c>
      <c r="G40" s="268">
        <v>17454.666981426399</v>
      </c>
      <c r="H40" s="268">
        <v>17336.037806421398</v>
      </c>
      <c r="I40" s="268">
        <v>18268.4206693659</v>
      </c>
      <c r="J40" s="268">
        <v>20671.024190138101</v>
      </c>
      <c r="K40" s="268">
        <v>22783.516612072599</v>
      </c>
      <c r="L40" s="268">
        <v>31334.278031787198</v>
      </c>
      <c r="M40" s="268">
        <v>25764.998765419099</v>
      </c>
      <c r="N40" s="203">
        <v>2.6736877584096954E-3</v>
      </c>
      <c r="O40" s="203">
        <v>-0.17773759652985521</v>
      </c>
      <c r="P40" s="203">
        <v>1.0733642192193011</v>
      </c>
      <c r="Q40" s="8"/>
      <c r="R40" s="8"/>
    </row>
    <row r="41" spans="1:18" ht="15" customHeight="1">
      <c r="A41" s="161"/>
      <c r="B41" s="259" t="s">
        <v>99</v>
      </c>
      <c r="C41" s="179"/>
      <c r="D41" s="116">
        <v>358174.72970563627</v>
      </c>
      <c r="E41" s="116">
        <v>371636.88042277528</v>
      </c>
      <c r="F41" s="116">
        <v>389451.75500613253</v>
      </c>
      <c r="G41" s="116">
        <v>431559.51644859137</v>
      </c>
      <c r="H41" s="116">
        <v>436475.5142753789</v>
      </c>
      <c r="I41" s="116">
        <v>427272.78767126222</v>
      </c>
      <c r="J41" s="116">
        <v>441591.21722444682</v>
      </c>
      <c r="K41" s="116">
        <v>469071.19629897462</v>
      </c>
      <c r="L41" s="116">
        <v>520350.82183228445</v>
      </c>
      <c r="M41" s="116">
        <v>459023.38751224452</v>
      </c>
      <c r="N41" s="96">
        <v>4.7633816061441396E-2</v>
      </c>
      <c r="O41" s="96">
        <v>-0.11785786001853671</v>
      </c>
      <c r="P41" s="96">
        <v>0.28156273863734071</v>
      </c>
      <c r="Q41" s="8"/>
      <c r="R41" s="8"/>
    </row>
    <row r="42" spans="1:18" ht="15" customHeight="1">
      <c r="A42" s="162"/>
      <c r="B42" s="260"/>
      <c r="C42" s="183" t="s">
        <v>251</v>
      </c>
      <c r="D42" s="268">
        <v>79075.254024350696</v>
      </c>
      <c r="E42" s="268">
        <v>82083.642141063494</v>
      </c>
      <c r="F42" s="268">
        <v>85047.5337795534</v>
      </c>
      <c r="G42" s="268">
        <v>94821.521451526103</v>
      </c>
      <c r="H42" s="268">
        <v>98035.6512899722</v>
      </c>
      <c r="I42" s="268">
        <v>95401.477903969702</v>
      </c>
      <c r="J42" s="268">
        <v>98092.346882352998</v>
      </c>
      <c r="K42" s="268">
        <v>105330.93180096</v>
      </c>
      <c r="L42" s="268">
        <v>111141.71303416901</v>
      </c>
      <c r="M42" s="268">
        <v>103179.506406663</v>
      </c>
      <c r="N42" s="203">
        <v>1.0707152975629582E-2</v>
      </c>
      <c r="O42" s="203">
        <v>-7.164012871619263E-2</v>
      </c>
      <c r="P42" s="203">
        <v>0.30482674611313376</v>
      </c>
      <c r="Q42" s="8"/>
      <c r="R42" s="8"/>
    </row>
    <row r="43" spans="1:18" ht="15" customHeight="1">
      <c r="A43" s="161"/>
      <c r="B43" s="259"/>
      <c r="C43" s="179" t="s">
        <v>252</v>
      </c>
      <c r="D43" s="267">
        <v>77513.846919901407</v>
      </c>
      <c r="E43" s="267">
        <v>79088.349927272298</v>
      </c>
      <c r="F43" s="267">
        <v>82365.571441660504</v>
      </c>
      <c r="G43" s="267">
        <v>88022.544865620293</v>
      </c>
      <c r="H43" s="267">
        <v>87966.128603404097</v>
      </c>
      <c r="I43" s="267">
        <v>86502.546745636195</v>
      </c>
      <c r="J43" s="267">
        <v>88479.480703221401</v>
      </c>
      <c r="K43" s="267">
        <v>92015.600120648101</v>
      </c>
      <c r="L43" s="267">
        <v>104982.36108203699</v>
      </c>
      <c r="M43" s="267">
        <v>90914.2071391645</v>
      </c>
      <c r="N43" s="202">
        <v>9.4343572420331739E-3</v>
      </c>
      <c r="O43" s="202">
        <v>-0.13400492995084323</v>
      </c>
      <c r="P43" s="202">
        <v>0.17287698587724964</v>
      </c>
      <c r="Q43" s="8"/>
      <c r="R43" s="8"/>
    </row>
    <row r="44" spans="1:18" ht="15" customHeight="1">
      <c r="A44" s="162"/>
      <c r="B44" s="260"/>
      <c r="C44" s="183" t="s">
        <v>253</v>
      </c>
      <c r="D44" s="268">
        <v>51174.115126704899</v>
      </c>
      <c r="E44" s="268">
        <v>54130.863001471203</v>
      </c>
      <c r="F44" s="268">
        <v>57468.207047691998</v>
      </c>
      <c r="G44" s="268">
        <v>65054.007260553197</v>
      </c>
      <c r="H44" s="268">
        <v>66018.714598787497</v>
      </c>
      <c r="I44" s="268">
        <v>65439.519218280097</v>
      </c>
      <c r="J44" s="268">
        <v>68794.712452017804</v>
      </c>
      <c r="K44" s="268">
        <v>73558.430239974899</v>
      </c>
      <c r="L44" s="268">
        <v>83736.371019704893</v>
      </c>
      <c r="M44" s="268">
        <v>72007.163685925407</v>
      </c>
      <c r="N44" s="203">
        <v>7.4723338362143437E-3</v>
      </c>
      <c r="O44" s="203">
        <v>-0.14007303147898975</v>
      </c>
      <c r="P44" s="203">
        <v>0.40710129540371698</v>
      </c>
      <c r="Q44" s="8"/>
      <c r="R44" s="8"/>
    </row>
    <row r="45" spans="1:18" ht="15" customHeight="1">
      <c r="A45" s="161"/>
      <c r="B45" s="259"/>
      <c r="C45" s="179" t="s">
        <v>254</v>
      </c>
      <c r="D45" s="267">
        <v>41813.212791965299</v>
      </c>
      <c r="E45" s="267">
        <v>43753.261590526301</v>
      </c>
      <c r="F45" s="267">
        <v>46300.463047617603</v>
      </c>
      <c r="G45" s="267">
        <v>54413.1647130438</v>
      </c>
      <c r="H45" s="267">
        <v>55336.1724463871</v>
      </c>
      <c r="I45" s="267">
        <v>52712.581037937198</v>
      </c>
      <c r="J45" s="267">
        <v>55013.523498896597</v>
      </c>
      <c r="K45" s="267">
        <v>60685.600862866602</v>
      </c>
      <c r="L45" s="267">
        <v>64961.841344251603</v>
      </c>
      <c r="M45" s="267">
        <v>59309.258948553601</v>
      </c>
      <c r="N45" s="202">
        <v>6.1546457290706973E-3</v>
      </c>
      <c r="O45" s="202">
        <v>-8.701388813385591E-2</v>
      </c>
      <c r="P45" s="202">
        <v>0.41843343260028765</v>
      </c>
      <c r="Q45" s="8"/>
      <c r="R45" s="8"/>
    </row>
    <row r="46" spans="1:18" ht="15" customHeight="1">
      <c r="A46" s="162"/>
      <c r="B46" s="260"/>
      <c r="C46" s="183" t="s">
        <v>255</v>
      </c>
      <c r="D46" s="268">
        <v>108598.300842714</v>
      </c>
      <c r="E46" s="268">
        <v>112580.763762442</v>
      </c>
      <c r="F46" s="268">
        <v>118269.979689609</v>
      </c>
      <c r="G46" s="268">
        <v>129248.27815784801</v>
      </c>
      <c r="H46" s="268">
        <v>129118.847336828</v>
      </c>
      <c r="I46" s="268">
        <v>127216.662765439</v>
      </c>
      <c r="J46" s="268">
        <v>131211.15368795799</v>
      </c>
      <c r="K46" s="268">
        <v>137480.633274525</v>
      </c>
      <c r="L46" s="268">
        <v>155528.53535212201</v>
      </c>
      <c r="M46" s="268">
        <v>133613.25133193799</v>
      </c>
      <c r="N46" s="203">
        <v>1.3865326278493599E-2</v>
      </c>
      <c r="O46" s="203">
        <v>-0.14090844468230257</v>
      </c>
      <c r="P46" s="203">
        <v>0.23034384787892637</v>
      </c>
      <c r="Q46" s="8"/>
      <c r="R46" s="8"/>
    </row>
    <row r="47" spans="1:18" ht="15" customHeight="1">
      <c r="A47" s="161"/>
      <c r="B47" s="259" t="s">
        <v>100</v>
      </c>
      <c r="C47" s="179"/>
      <c r="D47" s="116">
        <v>428978.27351039398</v>
      </c>
      <c r="E47" s="116">
        <v>440737.42176222696</v>
      </c>
      <c r="F47" s="116">
        <v>459874.17622707301</v>
      </c>
      <c r="G47" s="116">
        <v>502712.69235205906</v>
      </c>
      <c r="H47" s="116">
        <v>509720.69756514195</v>
      </c>
      <c r="I47" s="116">
        <v>493618.51973430696</v>
      </c>
      <c r="J47" s="116">
        <v>500909.17355402897</v>
      </c>
      <c r="K47" s="116">
        <v>537835.55131397303</v>
      </c>
      <c r="L47" s="116">
        <v>576892.45341121301</v>
      </c>
      <c r="M47" s="116">
        <v>517808.77157522703</v>
      </c>
      <c r="N47" s="96">
        <v>5.3734098198988479E-2</v>
      </c>
      <c r="O47" s="96">
        <v>-0.1024171515619926</v>
      </c>
      <c r="P47" s="96">
        <v>0.2070745852416247</v>
      </c>
      <c r="Q47" s="8"/>
      <c r="R47" s="8"/>
    </row>
    <row r="48" spans="1:18" ht="15" customHeight="1">
      <c r="A48" s="162"/>
      <c r="B48" s="260"/>
      <c r="C48" s="183" t="s">
        <v>256</v>
      </c>
      <c r="D48" s="268">
        <v>216326.44516367099</v>
      </c>
      <c r="E48" s="268">
        <v>222221.21646590199</v>
      </c>
      <c r="F48" s="268">
        <v>233265.20945165001</v>
      </c>
      <c r="G48" s="268">
        <v>257606.08509732701</v>
      </c>
      <c r="H48" s="268">
        <v>262963.53319127299</v>
      </c>
      <c r="I48" s="268">
        <v>252660.683216465</v>
      </c>
      <c r="J48" s="268">
        <v>253260.48591827499</v>
      </c>
      <c r="K48" s="268">
        <v>280034.84197208902</v>
      </c>
      <c r="L48" s="268">
        <v>298429.26022739097</v>
      </c>
      <c r="M48" s="268">
        <v>266548.35631742899</v>
      </c>
      <c r="N48" s="203">
        <v>2.7660279893614935E-2</v>
      </c>
      <c r="O48" s="203">
        <v>-0.1068290149755089</v>
      </c>
      <c r="P48" s="203">
        <v>0.23215798288443401</v>
      </c>
      <c r="Q48" s="8"/>
      <c r="R48" s="8"/>
    </row>
    <row r="49" spans="1:18" ht="15" customHeight="1">
      <c r="A49" s="161"/>
      <c r="B49" s="259"/>
      <c r="C49" s="179" t="s">
        <v>257</v>
      </c>
      <c r="D49" s="267">
        <v>99578.512878434005</v>
      </c>
      <c r="E49" s="267">
        <v>101551.63586656901</v>
      </c>
      <c r="F49" s="267">
        <v>105248.374047062</v>
      </c>
      <c r="G49" s="267">
        <v>113550.64428879401</v>
      </c>
      <c r="H49" s="267">
        <v>113287.359155427</v>
      </c>
      <c r="I49" s="267">
        <v>110748.738254276</v>
      </c>
      <c r="J49" s="267">
        <v>113285.78956822</v>
      </c>
      <c r="K49" s="267">
        <v>114575.015844412</v>
      </c>
      <c r="L49" s="267">
        <v>126573.961237111</v>
      </c>
      <c r="M49" s="267">
        <v>112506.638784426</v>
      </c>
      <c r="N49" s="202">
        <v>1.1675048991714876E-2</v>
      </c>
      <c r="O49" s="202">
        <v>-0.11113914991040441</v>
      </c>
      <c r="P49" s="202">
        <v>0.12982846933830716</v>
      </c>
      <c r="Q49" s="8"/>
      <c r="R49" s="8"/>
    </row>
    <row r="50" spans="1:18" ht="15" customHeight="1">
      <c r="A50" s="162"/>
      <c r="B50" s="260"/>
      <c r="C50" s="183" t="s">
        <v>258</v>
      </c>
      <c r="D50" s="268">
        <v>113073.315468289</v>
      </c>
      <c r="E50" s="268">
        <v>116964.569429756</v>
      </c>
      <c r="F50" s="268">
        <v>121360.59272836101</v>
      </c>
      <c r="G50" s="268">
        <v>131555.962965938</v>
      </c>
      <c r="H50" s="268">
        <v>133469.80521844199</v>
      </c>
      <c r="I50" s="268">
        <v>130209.098263566</v>
      </c>
      <c r="J50" s="268">
        <v>134362.898067534</v>
      </c>
      <c r="K50" s="268">
        <v>143225.69349747201</v>
      </c>
      <c r="L50" s="268">
        <v>151889.23194671099</v>
      </c>
      <c r="M50" s="268">
        <v>138753.77647337201</v>
      </c>
      <c r="N50" s="203">
        <v>1.4398769313658666E-2</v>
      </c>
      <c r="O50" s="203">
        <v>-8.6480491770130508E-2</v>
      </c>
      <c r="P50" s="203">
        <v>0.22711336356175926</v>
      </c>
      <c r="Q50" s="8"/>
      <c r="R50" s="8"/>
    </row>
    <row r="51" spans="1:18" ht="15" customHeight="1">
      <c r="A51" s="161"/>
      <c r="B51" s="259" t="s">
        <v>259</v>
      </c>
      <c r="C51" s="179"/>
      <c r="D51" s="116">
        <v>90901.444728315604</v>
      </c>
      <c r="E51" s="116">
        <v>92378.462645345397</v>
      </c>
      <c r="F51" s="116">
        <v>100350.04769191401</v>
      </c>
      <c r="G51" s="116">
        <v>108176.072241455</v>
      </c>
      <c r="H51" s="116">
        <v>111028.76070263999</v>
      </c>
      <c r="I51" s="116">
        <v>110717.242860257</v>
      </c>
      <c r="J51" s="116">
        <v>118625.53134957299</v>
      </c>
      <c r="K51" s="116">
        <v>117806.750282594</v>
      </c>
      <c r="L51" s="116">
        <v>119562.710772112</v>
      </c>
      <c r="M51" s="116">
        <v>114256.62357535399</v>
      </c>
      <c r="N51" s="96">
        <v>1.1856648570100542E-2</v>
      </c>
      <c r="O51" s="96">
        <v>-4.4379114211214765E-2</v>
      </c>
      <c r="P51" s="96">
        <v>0.25692857706323458</v>
      </c>
      <c r="Q51" s="8"/>
      <c r="R51" s="8"/>
    </row>
    <row r="52" spans="1:18" ht="15" customHeight="1">
      <c r="A52" s="162"/>
      <c r="B52" s="260" t="s">
        <v>260</v>
      </c>
      <c r="C52" s="183"/>
      <c r="D52" s="118">
        <v>165978.70035758099</v>
      </c>
      <c r="E52" s="118">
        <v>170777.13262427301</v>
      </c>
      <c r="F52" s="118">
        <v>179117.14221312199</v>
      </c>
      <c r="G52" s="118">
        <v>193642.42675273601</v>
      </c>
      <c r="H52" s="118">
        <v>192756.52130444499</v>
      </c>
      <c r="I52" s="118">
        <v>191742.31630514801</v>
      </c>
      <c r="J52" s="118">
        <v>201847.87245362101</v>
      </c>
      <c r="K52" s="118">
        <v>195236.94734393299</v>
      </c>
      <c r="L52" s="118">
        <v>199559.00631572699</v>
      </c>
      <c r="M52" s="118">
        <v>202546.76255764501</v>
      </c>
      <c r="N52" s="97">
        <v>2.1018700776447789E-2</v>
      </c>
      <c r="O52" s="97">
        <v>1.497179354156053E-2</v>
      </c>
      <c r="P52" s="97">
        <v>0.22031780054478411</v>
      </c>
      <c r="Q52" s="8"/>
      <c r="R52" s="8"/>
    </row>
    <row r="53" spans="1:18" ht="15" customHeight="1">
      <c r="A53" s="161"/>
      <c r="B53" s="259" t="s">
        <v>261</v>
      </c>
      <c r="C53" s="179"/>
      <c r="D53" s="116">
        <v>911308.55251938431</v>
      </c>
      <c r="E53" s="116">
        <v>911699.34033281519</v>
      </c>
      <c r="F53" s="116">
        <v>961039.60716455057</v>
      </c>
      <c r="G53" s="116">
        <v>1020187.1049915728</v>
      </c>
      <c r="H53" s="116">
        <v>1016109.3493377689</v>
      </c>
      <c r="I53" s="116">
        <v>1066977.3856204201</v>
      </c>
      <c r="J53" s="116">
        <v>1127494.9604543061</v>
      </c>
      <c r="K53" s="116">
        <v>1143174.9806282423</v>
      </c>
      <c r="L53" s="116">
        <v>1208342.9034303536</v>
      </c>
      <c r="M53" s="116">
        <v>1178095.8982149067</v>
      </c>
      <c r="N53" s="96">
        <v>0.12225347301461958</v>
      </c>
      <c r="O53" s="96">
        <v>-2.5031806062318029E-2</v>
      </c>
      <c r="P53" s="96">
        <v>0.29275193891022711</v>
      </c>
      <c r="Q53" s="8"/>
      <c r="R53" s="8"/>
    </row>
    <row r="54" spans="1:18" ht="15" customHeight="1">
      <c r="A54" s="162"/>
      <c r="B54" s="260" t="s">
        <v>105</v>
      </c>
      <c r="C54" s="183"/>
      <c r="D54" s="118">
        <v>262020.81197410601</v>
      </c>
      <c r="E54" s="118">
        <v>268219.246120564</v>
      </c>
      <c r="F54" s="118">
        <v>286177.962225236</v>
      </c>
      <c r="G54" s="118">
        <v>294946.19959713903</v>
      </c>
      <c r="H54" s="118">
        <v>322123.08661647502</v>
      </c>
      <c r="I54" s="118">
        <v>317574.76730242401</v>
      </c>
      <c r="J54" s="118">
        <v>332831.908754192</v>
      </c>
      <c r="K54" s="118">
        <v>318739.41276897799</v>
      </c>
      <c r="L54" s="118">
        <v>318055.97755458899</v>
      </c>
      <c r="M54" s="118">
        <v>316043.39067964</v>
      </c>
      <c r="N54" s="97">
        <v>3.2796483030326326E-2</v>
      </c>
      <c r="O54" s="97">
        <v>-6.3277756652241335E-3</v>
      </c>
      <c r="P54" s="97">
        <v>0.20617667084732472</v>
      </c>
      <c r="Q54" s="8"/>
      <c r="R54" s="8"/>
    </row>
    <row r="55" spans="1:18" ht="15" customHeight="1">
      <c r="A55" s="161"/>
      <c r="B55" s="259" t="s">
        <v>53</v>
      </c>
      <c r="C55" s="172"/>
      <c r="D55" s="116">
        <v>188821.320723065</v>
      </c>
      <c r="E55" s="116">
        <v>186592.35019221099</v>
      </c>
      <c r="F55" s="116">
        <v>203670.63796318701</v>
      </c>
      <c r="G55" s="116">
        <v>228166.588095399</v>
      </c>
      <c r="H55" s="116">
        <v>229273.88232557499</v>
      </c>
      <c r="I55" s="116">
        <v>225596.95974242999</v>
      </c>
      <c r="J55" s="116">
        <v>236018.07754508601</v>
      </c>
      <c r="K55" s="116">
        <v>229657.058325586</v>
      </c>
      <c r="L55" s="116">
        <v>229259.81903431099</v>
      </c>
      <c r="M55" s="116">
        <v>210304.19040063501</v>
      </c>
      <c r="N55" s="96">
        <v>2.1823705273028113E-2</v>
      </c>
      <c r="O55" s="96">
        <v>-8.2681861625473418E-2</v>
      </c>
      <c r="P55" s="96">
        <v>0.11377353783621658</v>
      </c>
      <c r="Q55" s="8"/>
      <c r="R55" s="8"/>
    </row>
    <row r="56" spans="1:18" ht="15" customHeight="1">
      <c r="A56" s="162"/>
      <c r="B56" s="260" t="s">
        <v>50</v>
      </c>
      <c r="C56" s="169"/>
      <c r="D56" s="118">
        <v>204143.48168897</v>
      </c>
      <c r="E56" s="118">
        <v>210034.78641241</v>
      </c>
      <c r="F56" s="118">
        <v>220722.289664032</v>
      </c>
      <c r="G56" s="118">
        <v>244265.10637629501</v>
      </c>
      <c r="H56" s="118">
        <v>247412.11466583301</v>
      </c>
      <c r="I56" s="118">
        <v>246234.70977198001</v>
      </c>
      <c r="J56" s="118">
        <v>263292.812424901</v>
      </c>
      <c r="K56" s="118">
        <v>256406.805077978</v>
      </c>
      <c r="L56" s="118">
        <v>257263.946220824</v>
      </c>
      <c r="M56" s="118">
        <v>241380.81328031901</v>
      </c>
      <c r="N56" s="97">
        <v>2.5048591364528541E-2</v>
      </c>
      <c r="O56" s="97">
        <v>-6.1738666353471916E-2</v>
      </c>
      <c r="P56" s="97">
        <v>0.18240764428659673</v>
      </c>
      <c r="Q56" s="8"/>
      <c r="R56" s="8"/>
    </row>
    <row r="57" spans="1:18" ht="15" customHeight="1">
      <c r="A57" s="161" t="s">
        <v>55</v>
      </c>
      <c r="B57" s="259"/>
      <c r="C57" s="179"/>
      <c r="D57" s="116">
        <v>2618118.6203026576</v>
      </c>
      <c r="E57" s="116">
        <v>2785033.6640778882</v>
      </c>
      <c r="F57" s="116">
        <v>3013729.950965425</v>
      </c>
      <c r="G57" s="116">
        <v>3328800.6895990642</v>
      </c>
      <c r="H57" s="116">
        <v>3444341.0689333114</v>
      </c>
      <c r="I57" s="116">
        <v>3410198.0743132629</v>
      </c>
      <c r="J57" s="116">
        <v>3646661.8753224737</v>
      </c>
      <c r="K57" s="116">
        <v>3630509.5406283606</v>
      </c>
      <c r="L57" s="116">
        <v>3596781.3030365817</v>
      </c>
      <c r="M57" s="116">
        <v>3564518.6565833017</v>
      </c>
      <c r="N57" s="96">
        <v>0.36989754913247413</v>
      </c>
      <c r="O57" s="96">
        <v>-8.9698660371823058E-3</v>
      </c>
      <c r="P57" s="96">
        <v>0.36148096153536358</v>
      </c>
      <c r="Q57" s="8"/>
      <c r="R57" s="8"/>
    </row>
    <row r="58" spans="1:18" ht="15" customHeight="1">
      <c r="A58" s="233" t="s">
        <v>305</v>
      </c>
      <c r="B58" s="271"/>
      <c r="C58" s="272"/>
      <c r="D58" s="120">
        <v>4.1073058694601059</v>
      </c>
      <c r="E58" s="120">
        <v>3.3376800548285246</v>
      </c>
      <c r="F58" s="120">
        <v>2.9097388098016381</v>
      </c>
      <c r="G58" s="120">
        <v>7.9511242713779211</v>
      </c>
      <c r="H58" s="120">
        <v>4.2926659975200891</v>
      </c>
      <c r="I58" s="120">
        <v>53.593388484790921</v>
      </c>
      <c r="J58" s="120">
        <v>43.49048949405551</v>
      </c>
      <c r="K58" s="120">
        <v>3.3016803693026304</v>
      </c>
      <c r="L58" s="120">
        <v>1.3373902291059494</v>
      </c>
      <c r="M58" s="120">
        <v>3.8356808722019196</v>
      </c>
      <c r="N58" s="98"/>
      <c r="O58" s="98"/>
      <c r="P58" s="98"/>
      <c r="Q58" s="8"/>
      <c r="R58" s="8"/>
    </row>
    <row r="59" spans="1:18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5"/>
      <c r="P59" s="45"/>
    </row>
    <row r="60" spans="1:18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5"/>
      <c r="P60" s="45"/>
    </row>
    <row r="61" spans="1:18">
      <c r="A61" s="44" t="s">
        <v>129</v>
      </c>
      <c r="B61" s="44" t="s">
        <v>142</v>
      </c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5"/>
      <c r="P61" s="45"/>
    </row>
    <row r="62" spans="1:18">
      <c r="A62" s="44"/>
      <c r="B62" s="44" t="s">
        <v>66</v>
      </c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5"/>
      <c r="P62" s="45"/>
    </row>
    <row r="63" spans="1:18">
      <c r="A63" s="44"/>
      <c r="B63" s="44" t="s">
        <v>67</v>
      </c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5"/>
      <c r="P63" s="45"/>
    </row>
    <row r="64" spans="1:18">
      <c r="A64" s="44"/>
      <c r="B64" s="44" t="s">
        <v>74</v>
      </c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5"/>
      <c r="P64" s="45"/>
    </row>
    <row r="65" spans="1:16">
      <c r="A65" s="44"/>
      <c r="B65" s="44" t="s">
        <v>68</v>
      </c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5"/>
      <c r="P65" s="45"/>
    </row>
    <row r="66" spans="1:16">
      <c r="A66" s="44"/>
      <c r="B66" s="44" t="s">
        <v>69</v>
      </c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5"/>
      <c r="P66" s="45"/>
    </row>
    <row r="67" spans="1:16">
      <c r="A67" s="44"/>
      <c r="B67" s="44" t="s">
        <v>70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5"/>
      <c r="P67" s="45"/>
    </row>
    <row r="68" spans="1:16">
      <c r="A68" s="44"/>
      <c r="B68" s="44" t="s">
        <v>71</v>
      </c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5"/>
      <c r="P68" s="45"/>
    </row>
    <row r="69" spans="1:16">
      <c r="A69" s="44"/>
      <c r="B69" s="44" t="s">
        <v>72</v>
      </c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5"/>
      <c r="P69" s="45"/>
    </row>
    <row r="70" spans="1:16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5"/>
      <c r="P70" s="45"/>
    </row>
    <row r="71" spans="1:16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5"/>
      <c r="P71" s="45"/>
    </row>
    <row r="72" spans="1:16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5"/>
      <c r="P72" s="45"/>
    </row>
    <row r="73" spans="1:16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5"/>
      <c r="P73" s="45"/>
    </row>
    <row r="74" spans="1:16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5"/>
      <c r="P74" s="45"/>
    </row>
    <row r="75" spans="1:16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5"/>
      <c r="P75" s="45"/>
    </row>
    <row r="76" spans="1:1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5"/>
      <c r="P76" s="45"/>
    </row>
    <row r="77" spans="1:16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5"/>
      <c r="P77" s="45"/>
    </row>
    <row r="78" spans="1:16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5"/>
      <c r="P78" s="45"/>
    </row>
    <row r="79" spans="1:16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5"/>
      <c r="P79" s="45"/>
    </row>
    <row r="80" spans="1:16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5"/>
      <c r="P80" s="45"/>
    </row>
    <row r="81" spans="1:16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5"/>
      <c r="P81" s="45"/>
    </row>
    <row r="82" spans="1:16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5"/>
      <c r="P82" s="45"/>
    </row>
    <row r="83" spans="1:16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5"/>
      <c r="P83" s="45"/>
    </row>
    <row r="84" spans="1:16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5"/>
      <c r="P84" s="45"/>
    </row>
    <row r="85" spans="1:16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5"/>
      <c r="P85" s="45"/>
    </row>
    <row r="86" spans="1:1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5"/>
      <c r="P86" s="45"/>
    </row>
    <row r="87" spans="1:16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5"/>
      <c r="P87" s="45"/>
    </row>
    <row r="88" spans="1:16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5"/>
      <c r="P88" s="45"/>
    </row>
    <row r="89" spans="1:16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5"/>
      <c r="P89" s="45"/>
    </row>
    <row r="90" spans="1:16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5"/>
      <c r="P90" s="45"/>
    </row>
    <row r="91" spans="1:16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5"/>
      <c r="P91" s="45"/>
    </row>
    <row r="92" spans="1:16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5"/>
      <c r="P92" s="45"/>
    </row>
    <row r="93" spans="1:16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5"/>
      <c r="P93" s="45"/>
    </row>
    <row r="94" spans="1:16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5"/>
      <c r="P94" s="45"/>
    </row>
    <row r="95" spans="1:16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5"/>
      <c r="P95" s="45"/>
    </row>
    <row r="96" spans="1:1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5"/>
      <c r="P96" s="45"/>
    </row>
    <row r="97" spans="1:16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5"/>
      <c r="P97" s="45"/>
    </row>
    <row r="98" spans="1:16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5"/>
      <c r="P98" s="45"/>
    </row>
    <row r="99" spans="1:16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5"/>
      <c r="P99" s="45"/>
    </row>
    <row r="100" spans="1:16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5"/>
      <c r="P100" s="45"/>
    </row>
    <row r="101" spans="1:16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5"/>
      <c r="P101" s="45"/>
    </row>
    <row r="102" spans="1:16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5"/>
      <c r="P102" s="45"/>
    </row>
    <row r="103" spans="1:16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5"/>
      <c r="P103" s="45"/>
    </row>
    <row r="104" spans="1:16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5"/>
      <c r="P104" s="45"/>
    </row>
    <row r="105" spans="1:16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5"/>
      <c r="P105" s="45"/>
    </row>
    <row r="106" spans="1:1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5"/>
      <c r="P106" s="45"/>
    </row>
    <row r="107" spans="1:16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5"/>
      <c r="P107" s="45"/>
    </row>
    <row r="108" spans="1:16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5"/>
      <c r="P108" s="45"/>
    </row>
    <row r="109" spans="1:16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5"/>
      <c r="P109" s="45"/>
    </row>
    <row r="110" spans="1:16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5"/>
      <c r="P110" s="45"/>
    </row>
    <row r="111" spans="1:16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5"/>
      <c r="P111" s="45"/>
    </row>
    <row r="112" spans="1:16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5"/>
      <c r="P112" s="45"/>
    </row>
    <row r="113" spans="1:16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5"/>
      <c r="P113" s="45"/>
    </row>
    <row r="114" spans="1:16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5"/>
      <c r="P114" s="45"/>
    </row>
    <row r="115" spans="1:16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5"/>
      <c r="P115" s="45"/>
    </row>
    <row r="116" spans="1: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5"/>
      <c r="P116" s="45"/>
    </row>
    <row r="117" spans="1:16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5"/>
      <c r="P117" s="45"/>
    </row>
    <row r="118" spans="1:16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5"/>
      <c r="P118" s="45"/>
    </row>
    <row r="119" spans="1:16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5"/>
      <c r="P119" s="45"/>
    </row>
    <row r="120" spans="1:16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5"/>
      <c r="P120" s="45"/>
    </row>
    <row r="121" spans="1:16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5"/>
      <c r="P121" s="45"/>
    </row>
    <row r="122" spans="1:16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5"/>
      <c r="P122" s="45"/>
    </row>
    <row r="123" spans="1:16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5"/>
      <c r="P123" s="45"/>
    </row>
    <row r="124" spans="1:16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5"/>
      <c r="P124" s="45"/>
    </row>
    <row r="125" spans="1:16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5"/>
      <c r="P125" s="45"/>
    </row>
    <row r="126" spans="1:1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5"/>
      <c r="P126" s="45"/>
    </row>
    <row r="127" spans="1:16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5"/>
      <c r="P127" s="45"/>
    </row>
    <row r="128" spans="1:16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5"/>
      <c r="P128" s="45"/>
    </row>
    <row r="129" spans="1:16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5"/>
      <c r="P129" s="45"/>
    </row>
    <row r="130" spans="1:16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5"/>
      <c r="P130" s="45"/>
    </row>
    <row r="131" spans="1:16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5"/>
      <c r="P131" s="45"/>
    </row>
    <row r="132" spans="1:16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5"/>
      <c r="P132" s="45"/>
    </row>
    <row r="133" spans="1:16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5"/>
      <c r="P133" s="45"/>
    </row>
    <row r="134" spans="1:16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5"/>
      <c r="P134" s="45"/>
    </row>
    <row r="135" spans="1:16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5"/>
      <c r="P135" s="45"/>
    </row>
    <row r="136" spans="1:1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5"/>
      <c r="P136" s="45"/>
    </row>
    <row r="137" spans="1:16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5"/>
      <c r="P137" s="45"/>
    </row>
    <row r="138" spans="1:16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5"/>
      <c r="P138" s="45"/>
    </row>
    <row r="139" spans="1:16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5"/>
      <c r="P139" s="45"/>
    </row>
    <row r="140" spans="1:16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5"/>
      <c r="P140" s="45"/>
    </row>
  </sheetData>
  <mergeCells count="8">
    <mergeCell ref="A1:P1"/>
    <mergeCell ref="A2:N2"/>
    <mergeCell ref="N4:N5"/>
    <mergeCell ref="A7:B7"/>
    <mergeCell ref="A4:A6"/>
    <mergeCell ref="B4:B6"/>
    <mergeCell ref="C4:C6"/>
    <mergeCell ref="D4:M5"/>
  </mergeCells>
  <hyperlinks>
    <hyperlink ref="R1" location="INDICE!Área_de_impresión" display="INDICE"/>
  </hyperlink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8"/>
  <dimension ref="A1:R86"/>
  <sheetViews>
    <sheetView showGridLines="0" zoomScale="90" zoomScaleNormal="90" workbookViewId="0">
      <selection sqref="A1:N1"/>
    </sheetView>
  </sheetViews>
  <sheetFormatPr baseColWidth="10" defaultRowHeight="12.75"/>
  <cols>
    <col min="1" max="1" width="22.140625" style="8" customWidth="1"/>
    <col min="2" max="2" width="28.7109375" style="8" customWidth="1"/>
    <col min="3" max="3" width="23" style="8" bestFit="1" customWidth="1"/>
    <col min="4" max="13" width="13.7109375" style="8" customWidth="1"/>
    <col min="14" max="14" width="13.7109375" style="27" customWidth="1"/>
    <col min="15" max="15" width="1.28515625" style="2" customWidth="1"/>
    <col min="16" max="16" width="11.42578125" style="2"/>
    <col min="17" max="16384" width="11.42578125" style="8"/>
  </cols>
  <sheetData>
    <row r="1" spans="1:18" s="30" customFormat="1" ht="30" customHeight="1">
      <c r="A1" s="323" t="s">
        <v>54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5"/>
      <c r="P1" s="31" t="s">
        <v>134</v>
      </c>
    </row>
    <row r="2" spans="1:18" ht="30" customHeight="1">
      <c r="A2" s="365" t="s">
        <v>264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38"/>
      <c r="O2" s="19"/>
    </row>
    <row r="3" spans="1:18" ht="8.1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54"/>
      <c r="O3" s="41"/>
      <c r="P3" s="41"/>
      <c r="Q3" s="44"/>
      <c r="R3" s="44"/>
    </row>
    <row r="4" spans="1:18">
      <c r="A4" s="391" t="s">
        <v>224</v>
      </c>
      <c r="B4" s="372" t="s">
        <v>225</v>
      </c>
      <c r="C4" s="372" t="s">
        <v>226</v>
      </c>
      <c r="D4" s="372">
        <v>2015</v>
      </c>
      <c r="E4" s="372">
        <v>2016</v>
      </c>
      <c r="F4" s="372">
        <v>2017</v>
      </c>
      <c r="G4" s="372">
        <v>2018</v>
      </c>
      <c r="H4" s="372">
        <v>2019</v>
      </c>
      <c r="I4" s="372">
        <v>2020</v>
      </c>
      <c r="J4" s="372">
        <v>2021</v>
      </c>
      <c r="K4" s="372">
        <v>2022</v>
      </c>
      <c r="L4" s="372">
        <v>2023</v>
      </c>
      <c r="M4" s="372">
        <v>2024</v>
      </c>
      <c r="N4" s="388" t="s">
        <v>156</v>
      </c>
      <c r="O4" s="8"/>
      <c r="P4" s="8"/>
    </row>
    <row r="5" spans="1:18">
      <c r="A5" s="392"/>
      <c r="B5" s="373"/>
      <c r="C5" s="373"/>
      <c r="D5" s="373"/>
      <c r="E5" s="373"/>
      <c r="F5" s="373"/>
      <c r="G5" s="373"/>
      <c r="H5" s="373"/>
      <c r="I5" s="373"/>
      <c r="J5" s="373"/>
      <c r="K5" s="373"/>
      <c r="L5" s="373"/>
      <c r="M5" s="373"/>
      <c r="N5" s="389"/>
      <c r="O5" s="8"/>
      <c r="P5" s="8"/>
    </row>
    <row r="6" spans="1:18" s="5" customFormat="1">
      <c r="A6" s="393"/>
      <c r="B6" s="374"/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90"/>
    </row>
    <row r="7" spans="1:18" s="5" customFormat="1" ht="15" customHeight="1">
      <c r="A7" s="349" t="s">
        <v>0</v>
      </c>
      <c r="B7" s="383"/>
      <c r="C7" s="256"/>
      <c r="D7" s="204">
        <v>8.8216798935786371E-3</v>
      </c>
      <c r="E7" s="204">
        <v>8.914313850089093E-3</v>
      </c>
      <c r="F7" s="204">
        <v>8.196180931143271E-3</v>
      </c>
      <c r="G7" s="204">
        <v>7.5725911703055119E-3</v>
      </c>
      <c r="H7" s="204">
        <v>7.9975446451791745E-3</v>
      </c>
      <c r="I7" s="204">
        <v>5.8954149225105765E-3</v>
      </c>
      <c r="J7" s="204">
        <v>6.8732488022335749E-3</v>
      </c>
      <c r="K7" s="204">
        <v>8.5813325082493737E-3</v>
      </c>
      <c r="L7" s="204">
        <v>1.0358647218832338E-2</v>
      </c>
      <c r="M7" s="204">
        <v>1.1287809037715042E-2</v>
      </c>
      <c r="N7" s="262">
        <v>0.09</v>
      </c>
    </row>
    <row r="8" spans="1:18" ht="15" customHeight="1">
      <c r="A8" s="160" t="s">
        <v>141</v>
      </c>
      <c r="B8" s="257"/>
      <c r="C8" s="169"/>
      <c r="D8" s="137">
        <v>9.147639689056377E-3</v>
      </c>
      <c r="E8" s="137">
        <v>1.021005873514411E-2</v>
      </c>
      <c r="F8" s="137">
        <v>1.001322402719642E-2</v>
      </c>
      <c r="G8" s="137">
        <v>9.4009582951955564E-3</v>
      </c>
      <c r="H8" s="137">
        <v>8.2824411225804299E-3</v>
      </c>
      <c r="I8" s="137">
        <v>5.4650637670405214E-3</v>
      </c>
      <c r="J8" s="137">
        <v>7.7372540888927732E-3</v>
      </c>
      <c r="K8" s="137">
        <v>1.0269624117218766E-2</v>
      </c>
      <c r="L8" s="137">
        <v>1.2230342203591298E-2</v>
      </c>
      <c r="M8" s="137">
        <v>1.2746401633565807E-2</v>
      </c>
      <c r="N8" s="105">
        <v>0.05</v>
      </c>
      <c r="O8" s="8"/>
      <c r="P8" s="8"/>
    </row>
    <row r="9" spans="1:18" ht="15" customHeight="1">
      <c r="A9" s="161" t="s">
        <v>104</v>
      </c>
      <c r="B9" s="258"/>
      <c r="C9" s="172"/>
      <c r="D9" s="139">
        <v>1.5408445262142261E-2</v>
      </c>
      <c r="E9" s="139">
        <v>1.5683761290028273E-2</v>
      </c>
      <c r="F9" s="139">
        <v>1.5149897428091809E-2</v>
      </c>
      <c r="G9" s="139">
        <v>1.3942422246180775E-2</v>
      </c>
      <c r="H9" s="139">
        <v>1.4509484462937662E-2</v>
      </c>
      <c r="I9" s="139">
        <v>1.0511218389455302E-2</v>
      </c>
      <c r="J9" s="139">
        <v>1.298627237296018E-2</v>
      </c>
      <c r="K9" s="139">
        <v>1.5616997725546195E-2</v>
      </c>
      <c r="L9" s="139">
        <v>1.7816488188922248E-2</v>
      </c>
      <c r="M9" s="139">
        <v>2.0115472722225376E-2</v>
      </c>
      <c r="N9" s="107">
        <v>0.23</v>
      </c>
      <c r="O9" s="8"/>
      <c r="P9" s="8"/>
    </row>
    <row r="10" spans="1:18" ht="15" customHeight="1">
      <c r="A10" s="162" t="s">
        <v>2</v>
      </c>
      <c r="B10" s="257"/>
      <c r="C10" s="169"/>
      <c r="D10" s="140">
        <v>1.3145701354043214E-2</v>
      </c>
      <c r="E10" s="140">
        <v>1.3003598519322767E-2</v>
      </c>
      <c r="F10" s="140">
        <v>1.2463121669772164E-2</v>
      </c>
      <c r="G10" s="140">
        <v>1.1539630283113939E-2</v>
      </c>
      <c r="H10" s="140">
        <v>1.2568323496060529E-2</v>
      </c>
      <c r="I10" s="140">
        <v>9.1312345912781256E-3</v>
      </c>
      <c r="J10" s="140">
        <v>1.0721083694163941E-2</v>
      </c>
      <c r="K10" s="140">
        <v>1.2825391004600449E-2</v>
      </c>
      <c r="L10" s="140">
        <v>1.471144849399905E-2</v>
      </c>
      <c r="M10" s="140">
        <v>1.6841950124571972E-2</v>
      </c>
      <c r="N10" s="109">
        <v>0.21</v>
      </c>
      <c r="O10" s="8"/>
      <c r="P10" s="8"/>
    </row>
    <row r="11" spans="1:18" ht="15" customHeight="1">
      <c r="A11" s="161"/>
      <c r="B11" s="259" t="s">
        <v>93</v>
      </c>
      <c r="C11" s="179"/>
      <c r="D11" s="139">
        <v>7.635837084946898E-3</v>
      </c>
      <c r="E11" s="139">
        <v>7.8401984220163833E-3</v>
      </c>
      <c r="F11" s="139">
        <v>7.6125052186473115E-3</v>
      </c>
      <c r="G11" s="139">
        <v>6.9582754048156609E-3</v>
      </c>
      <c r="H11" s="139">
        <v>8.7510704644302162E-3</v>
      </c>
      <c r="I11" s="139">
        <v>6.4071654199477643E-3</v>
      </c>
      <c r="J11" s="139">
        <v>7.2669940121494114E-3</v>
      </c>
      <c r="K11" s="139">
        <v>1.0639774870180703E-2</v>
      </c>
      <c r="L11" s="139">
        <v>1.112412550155672E-2</v>
      </c>
      <c r="M11" s="139">
        <v>1.308695597403621E-2</v>
      </c>
      <c r="N11" s="107">
        <v>0.2</v>
      </c>
      <c r="O11" s="8"/>
      <c r="P11" s="8"/>
    </row>
    <row r="12" spans="1:18" ht="15" customHeight="1">
      <c r="A12" s="162"/>
      <c r="B12" s="260"/>
      <c r="C12" s="183" t="s">
        <v>227</v>
      </c>
      <c r="D12" s="206">
        <v>5.0810120064379242E-3</v>
      </c>
      <c r="E12" s="206">
        <v>5.8742570827245598E-3</v>
      </c>
      <c r="F12" s="206">
        <v>5.1781144378945055E-3</v>
      </c>
      <c r="G12" s="206">
        <v>4.4686638529899967E-3</v>
      </c>
      <c r="H12" s="206">
        <v>7.1043573947764315E-3</v>
      </c>
      <c r="I12" s="206">
        <v>4.2873911568188363E-3</v>
      </c>
      <c r="J12" s="206">
        <v>5.9301890812370629E-3</v>
      </c>
      <c r="K12" s="206">
        <v>8.7492951379935183E-3</v>
      </c>
      <c r="L12" s="206">
        <v>9.2069942348873678E-3</v>
      </c>
      <c r="M12" s="206">
        <v>1.2181718572947642E-2</v>
      </c>
      <c r="N12" s="200">
        <v>0.3</v>
      </c>
      <c r="O12" s="8"/>
      <c r="P12" s="8"/>
    </row>
    <row r="13" spans="1:18" ht="15" customHeight="1">
      <c r="A13" s="161"/>
      <c r="B13" s="259"/>
      <c r="C13" s="179" t="s">
        <v>228</v>
      </c>
      <c r="D13" s="205">
        <v>5.0851974180943791E-3</v>
      </c>
      <c r="E13" s="205">
        <v>5.395406806943945E-3</v>
      </c>
      <c r="F13" s="205">
        <v>5.6669933787125409E-3</v>
      </c>
      <c r="G13" s="205">
        <v>4.7491955360848765E-3</v>
      </c>
      <c r="H13" s="205">
        <v>5.5865485770267582E-3</v>
      </c>
      <c r="I13" s="205">
        <v>4.1267715002179777E-3</v>
      </c>
      <c r="J13" s="205">
        <v>3.8669746358647125E-3</v>
      </c>
      <c r="K13" s="205">
        <v>6.5140796865644033E-3</v>
      </c>
      <c r="L13" s="205">
        <v>7.7598350747057915E-3</v>
      </c>
      <c r="M13" s="205">
        <v>6.1993384196234146E-3</v>
      </c>
      <c r="N13" s="199">
        <v>-0.16</v>
      </c>
      <c r="O13" s="8"/>
      <c r="P13" s="8"/>
    </row>
    <row r="14" spans="1:18" ht="15" customHeight="1">
      <c r="A14" s="162"/>
      <c r="B14" s="260"/>
      <c r="C14" s="183" t="s">
        <v>229</v>
      </c>
      <c r="D14" s="206">
        <v>7.9686102770404801E-3</v>
      </c>
      <c r="E14" s="206">
        <v>8.1267075887591321E-3</v>
      </c>
      <c r="F14" s="206">
        <v>7.9107579938073186E-3</v>
      </c>
      <c r="G14" s="206">
        <v>7.2824784068868621E-3</v>
      </c>
      <c r="H14" s="206">
        <v>9.034575772484307E-3</v>
      </c>
      <c r="I14" s="206">
        <v>6.6835417999359988E-3</v>
      </c>
      <c r="J14" s="206">
        <v>7.5427061749850132E-3</v>
      </c>
      <c r="K14" s="206">
        <v>1.1030133417881558E-2</v>
      </c>
      <c r="L14" s="206">
        <v>1.1457991617569491E-2</v>
      </c>
      <c r="M14" s="206">
        <v>1.3569200837096358E-2</v>
      </c>
      <c r="N14" s="200">
        <v>0.21</v>
      </c>
      <c r="O14" s="8"/>
      <c r="P14" s="8"/>
    </row>
    <row r="15" spans="1:18" ht="15" customHeight="1">
      <c r="A15" s="161"/>
      <c r="B15" s="259" t="s">
        <v>94</v>
      </c>
      <c r="C15" s="179"/>
      <c r="D15" s="139">
        <v>8.4955289431739821E-3</v>
      </c>
      <c r="E15" s="139">
        <v>8.3940823181712122E-3</v>
      </c>
      <c r="F15" s="139">
        <v>8.860977643099276E-3</v>
      </c>
      <c r="G15" s="139">
        <v>6.7575476138988962E-3</v>
      </c>
      <c r="H15" s="139">
        <v>7.1128462092616548E-3</v>
      </c>
      <c r="I15" s="139">
        <v>4.39192150143153E-3</v>
      </c>
      <c r="J15" s="139">
        <v>5.0477567352301324E-3</v>
      </c>
      <c r="K15" s="139">
        <v>6.1786925937857432E-3</v>
      </c>
      <c r="L15" s="139">
        <v>6.4856604953591043E-3</v>
      </c>
      <c r="M15" s="139">
        <v>6.1861682088567805E-3</v>
      </c>
      <c r="N15" s="107">
        <v>-0.03</v>
      </c>
      <c r="O15" s="8"/>
      <c r="P15" s="8"/>
    </row>
    <row r="16" spans="1:18" ht="15" customHeight="1">
      <c r="A16" s="162"/>
      <c r="B16" s="260"/>
      <c r="C16" s="183" t="s">
        <v>230</v>
      </c>
      <c r="D16" s="206">
        <v>9.9371687571422895E-3</v>
      </c>
      <c r="E16" s="206">
        <v>9.6629259025157142E-3</v>
      </c>
      <c r="F16" s="206">
        <v>1.4259558127120179E-2</v>
      </c>
      <c r="G16" s="206">
        <v>6.8095940191359181E-3</v>
      </c>
      <c r="H16" s="206">
        <v>7.1225716750865243E-3</v>
      </c>
      <c r="I16" s="206">
        <v>4.7483083417878286E-3</v>
      </c>
      <c r="J16" s="206">
        <v>5.9270125174067144E-3</v>
      </c>
      <c r="K16" s="206">
        <v>6.4887291297435349E-3</v>
      </c>
      <c r="L16" s="206">
        <v>6.0515907723796159E-3</v>
      </c>
      <c r="M16" s="206">
        <v>6.703070966772709E-3</v>
      </c>
      <c r="N16" s="200">
        <v>0.06</v>
      </c>
      <c r="O16" s="8"/>
      <c r="P16" s="8"/>
    </row>
    <row r="17" spans="1:16" ht="15" customHeight="1">
      <c r="A17" s="161"/>
      <c r="B17" s="259"/>
      <c r="C17" s="179" t="s">
        <v>231</v>
      </c>
      <c r="D17" s="205">
        <v>8.5357433676701948E-3</v>
      </c>
      <c r="E17" s="205">
        <v>1.0029771185926102E-2</v>
      </c>
      <c r="F17" s="205">
        <v>1.041009088722124E-2</v>
      </c>
      <c r="G17" s="205">
        <v>8.4719254991055294E-3</v>
      </c>
      <c r="H17" s="205">
        <v>9.1708715966715565E-3</v>
      </c>
      <c r="I17" s="205">
        <v>5.2433033313745801E-3</v>
      </c>
      <c r="J17" s="205">
        <v>5.3603830625166141E-3</v>
      </c>
      <c r="K17" s="205">
        <v>7.4581572271471726E-3</v>
      </c>
      <c r="L17" s="205">
        <v>7.5688056554684916E-3</v>
      </c>
      <c r="M17" s="205">
        <v>8.1219221903734342E-3</v>
      </c>
      <c r="N17" s="199">
        <v>0.05</v>
      </c>
      <c r="O17" s="8"/>
      <c r="P17" s="8"/>
    </row>
    <row r="18" spans="1:16" ht="15" customHeight="1">
      <c r="A18" s="162"/>
      <c r="B18" s="260"/>
      <c r="C18" s="183" t="s">
        <v>232</v>
      </c>
      <c r="D18" s="206">
        <v>5.5649475815327532E-3</v>
      </c>
      <c r="E18" s="206">
        <v>5.7032875783524992E-3</v>
      </c>
      <c r="F18" s="206">
        <v>6.8076632827099902E-3</v>
      </c>
      <c r="G18" s="206">
        <v>5.4805248116957372E-3</v>
      </c>
      <c r="H18" s="206">
        <v>5.867518375011262E-3</v>
      </c>
      <c r="I18" s="206">
        <v>3.9138691940578023E-3</v>
      </c>
      <c r="J18" s="206">
        <v>4.2447404043249965E-3</v>
      </c>
      <c r="K18" s="206">
        <v>5.2278246655931325E-3</v>
      </c>
      <c r="L18" s="206">
        <v>6.8390012708097686E-3</v>
      </c>
      <c r="M18" s="206">
        <v>6.2056137968652947E-3</v>
      </c>
      <c r="N18" s="200">
        <v>-0.06</v>
      </c>
      <c r="O18" s="8"/>
      <c r="P18" s="8"/>
    </row>
    <row r="19" spans="1:16" ht="15" customHeight="1">
      <c r="A19" s="161"/>
      <c r="B19" s="259"/>
      <c r="C19" s="179" t="s">
        <v>233</v>
      </c>
      <c r="D19" s="205">
        <v>8.5514562165399793E-3</v>
      </c>
      <c r="E19" s="205">
        <v>9.111152341617362E-3</v>
      </c>
      <c r="F19" s="205">
        <v>7.5383369907909325E-3</v>
      </c>
      <c r="G19" s="205">
        <v>5.9426291742677847E-3</v>
      </c>
      <c r="H19" s="205">
        <v>5.7598959503235708E-3</v>
      </c>
      <c r="I19" s="205">
        <v>4.1028080815531161E-3</v>
      </c>
      <c r="J19" s="205">
        <v>4.3955830964899495E-3</v>
      </c>
      <c r="K19" s="205">
        <v>5.2812117975495143E-3</v>
      </c>
      <c r="L19" s="205">
        <v>6.1361131227973664E-3</v>
      </c>
      <c r="M19" s="205">
        <v>5.9152451429788254E-3</v>
      </c>
      <c r="N19" s="199">
        <v>-0.02</v>
      </c>
      <c r="O19" s="8"/>
      <c r="P19" s="8"/>
    </row>
    <row r="20" spans="1:16" ht="15" customHeight="1">
      <c r="A20" s="162"/>
      <c r="B20" s="260"/>
      <c r="C20" s="183" t="s">
        <v>234</v>
      </c>
      <c r="D20" s="206">
        <v>1.1019110113689404E-2</v>
      </c>
      <c r="E20" s="206">
        <v>9.7245705353333784E-3</v>
      </c>
      <c r="F20" s="206">
        <v>8.8808845438715749E-3</v>
      </c>
      <c r="G20" s="206">
        <v>8.3178690204961728E-3</v>
      </c>
      <c r="H20" s="206">
        <v>9.045193533073868E-3</v>
      </c>
      <c r="I20" s="206">
        <v>4.7005032490369403E-3</v>
      </c>
      <c r="J20" s="206">
        <v>5.8734515585704321E-3</v>
      </c>
      <c r="K20" s="206">
        <v>7.5148309791301972E-3</v>
      </c>
      <c r="L20" s="206">
        <v>6.3927488393840607E-3</v>
      </c>
      <c r="M20" s="206">
        <v>5.3393679674567703E-3</v>
      </c>
      <c r="N20" s="200">
        <v>-0.11</v>
      </c>
      <c r="O20" s="8"/>
      <c r="P20" s="8"/>
    </row>
    <row r="21" spans="1:16" ht="15" customHeight="1">
      <c r="A21" s="161"/>
      <c r="B21" s="259" t="s">
        <v>95</v>
      </c>
      <c r="C21" s="179"/>
      <c r="D21" s="139">
        <v>1.7843384490881329E-2</v>
      </c>
      <c r="E21" s="139">
        <v>1.9791674898391905E-2</v>
      </c>
      <c r="F21" s="139">
        <v>1.6958860592579297E-2</v>
      </c>
      <c r="G21" s="139">
        <v>1.5830100255665232E-2</v>
      </c>
      <c r="H21" s="139">
        <v>1.6564401111841858E-2</v>
      </c>
      <c r="I21" s="139">
        <v>1.2103868578886227E-2</v>
      </c>
      <c r="J21" s="139">
        <v>1.5159343946204988E-2</v>
      </c>
      <c r="K21" s="139">
        <v>1.6107525260496341E-2</v>
      </c>
      <c r="L21" s="139">
        <v>1.8932554337365723E-2</v>
      </c>
      <c r="M21" s="139">
        <v>2.3543288412159129E-2</v>
      </c>
      <c r="N21" s="107">
        <v>0.46</v>
      </c>
      <c r="O21" s="8"/>
      <c r="P21" s="8"/>
    </row>
    <row r="22" spans="1:16" ht="15" customHeight="1">
      <c r="A22" s="162"/>
      <c r="B22" s="260"/>
      <c r="C22" s="183" t="s">
        <v>235</v>
      </c>
      <c r="D22" s="206">
        <v>1.2708844916286472E-2</v>
      </c>
      <c r="E22" s="206">
        <v>1.6699335181788441E-2</v>
      </c>
      <c r="F22" s="206">
        <v>1.4202986268500663E-2</v>
      </c>
      <c r="G22" s="206">
        <v>1.1539961059145627E-2</v>
      </c>
      <c r="H22" s="206">
        <v>1.4650360455429961E-2</v>
      </c>
      <c r="I22" s="206">
        <v>1.1587032610089231E-2</v>
      </c>
      <c r="J22" s="206">
        <v>1.3408119633971139E-2</v>
      </c>
      <c r="K22" s="206">
        <v>1.4831522269606833E-2</v>
      </c>
      <c r="L22" s="206">
        <v>1.8333723155340147E-2</v>
      </c>
      <c r="M22" s="206">
        <v>2.0244931246022516E-2</v>
      </c>
      <c r="N22" s="200">
        <v>0.19</v>
      </c>
      <c r="O22" s="8"/>
      <c r="P22" s="8"/>
    </row>
    <row r="23" spans="1:16" ht="15" customHeight="1">
      <c r="A23" s="161"/>
      <c r="B23" s="259"/>
      <c r="C23" s="179" t="s">
        <v>236</v>
      </c>
      <c r="D23" s="205">
        <v>1.9722718933551115E-2</v>
      </c>
      <c r="E23" s="205">
        <v>2.354578277961282E-2</v>
      </c>
      <c r="F23" s="205">
        <v>1.8628775394975764E-2</v>
      </c>
      <c r="G23" s="205">
        <v>1.841959906955408E-2</v>
      </c>
      <c r="H23" s="205">
        <v>2.1372342882796557E-2</v>
      </c>
      <c r="I23" s="205">
        <v>1.3927124836128294E-2</v>
      </c>
      <c r="J23" s="205">
        <v>1.6555540851445005E-2</v>
      </c>
      <c r="K23" s="205">
        <v>1.7876185896756842E-2</v>
      </c>
      <c r="L23" s="205">
        <v>2.2408613018594009E-2</v>
      </c>
      <c r="M23" s="205">
        <v>2.8661402114372733E-2</v>
      </c>
      <c r="N23" s="199">
        <v>0.63</v>
      </c>
      <c r="O23" s="8"/>
      <c r="P23" s="8"/>
    </row>
    <row r="24" spans="1:16" ht="15" customHeight="1">
      <c r="A24" s="162"/>
      <c r="B24" s="260"/>
      <c r="C24" s="183" t="s">
        <v>237</v>
      </c>
      <c r="D24" s="206">
        <v>2.7233903187363771E-2</v>
      </c>
      <c r="E24" s="206">
        <v>2.903609142984127E-2</v>
      </c>
      <c r="F24" s="206">
        <v>2.6071399486729183E-2</v>
      </c>
      <c r="G24" s="206">
        <v>2.5616101793800913E-2</v>
      </c>
      <c r="H24" s="206">
        <v>2.3527148934809856E-2</v>
      </c>
      <c r="I24" s="206">
        <v>1.8943622851864867E-2</v>
      </c>
      <c r="J24" s="206">
        <v>2.3378159803915728E-2</v>
      </c>
      <c r="K24" s="206">
        <v>2.4832248618050147E-2</v>
      </c>
      <c r="L24" s="206">
        <v>3.0043512500668092E-2</v>
      </c>
      <c r="M24" s="206">
        <v>3.6501435800952817E-2</v>
      </c>
      <c r="N24" s="200">
        <v>0.65</v>
      </c>
      <c r="O24" s="8"/>
      <c r="P24" s="8"/>
    </row>
    <row r="25" spans="1:16" ht="15" customHeight="1">
      <c r="A25" s="161"/>
      <c r="B25" s="259"/>
      <c r="C25" s="179" t="s">
        <v>238</v>
      </c>
      <c r="D25" s="205">
        <v>1.0213231981045082E-2</v>
      </c>
      <c r="E25" s="205">
        <v>1.0050725805288534E-2</v>
      </c>
      <c r="F25" s="205">
        <v>9.5536600152374938E-3</v>
      </c>
      <c r="G25" s="205">
        <v>7.5084046831333188E-3</v>
      </c>
      <c r="H25" s="205">
        <v>7.7130966885590362E-3</v>
      </c>
      <c r="I25" s="205">
        <v>5.8262039402511897E-3</v>
      </c>
      <c r="J25" s="205">
        <v>7.4893379996223393E-3</v>
      </c>
      <c r="K25" s="205">
        <v>7.1058108467053627E-3</v>
      </c>
      <c r="L25" s="205">
        <v>7.4942202214063154E-3</v>
      </c>
      <c r="M25" s="205">
        <v>9.4314465306334517E-3</v>
      </c>
      <c r="N25" s="199">
        <v>0.19</v>
      </c>
      <c r="O25" s="8"/>
      <c r="P25" s="8"/>
    </row>
    <row r="26" spans="1:16" ht="15" customHeight="1">
      <c r="A26" s="162"/>
      <c r="B26" s="260" t="s">
        <v>96</v>
      </c>
      <c r="C26" s="183"/>
      <c r="D26" s="140">
        <v>2.5839302769026622E-2</v>
      </c>
      <c r="E26" s="140">
        <v>2.3675170980217361E-2</v>
      </c>
      <c r="F26" s="140">
        <v>2.307886499017308E-2</v>
      </c>
      <c r="G26" s="140">
        <v>2.0416612281366764E-2</v>
      </c>
      <c r="H26" s="140">
        <v>2.070652032792035E-2</v>
      </c>
      <c r="I26" s="140">
        <v>1.5655207533599565E-2</v>
      </c>
      <c r="J26" s="140">
        <v>1.7919546046044624E-2</v>
      </c>
      <c r="K26" s="140">
        <v>2.2373851700413734E-2</v>
      </c>
      <c r="L26" s="140">
        <v>2.6053711401267988E-2</v>
      </c>
      <c r="M26" s="140">
        <v>2.9473105595927616E-2</v>
      </c>
      <c r="N26" s="109">
        <v>0.34</v>
      </c>
      <c r="O26" s="8"/>
      <c r="P26" s="8"/>
    </row>
    <row r="27" spans="1:16" ht="15" customHeight="1">
      <c r="A27" s="161"/>
      <c r="B27" s="259"/>
      <c r="C27" s="179" t="s">
        <v>239</v>
      </c>
      <c r="D27" s="205">
        <v>2.8492405738795142E-2</v>
      </c>
      <c r="E27" s="205">
        <v>2.8632462504522033E-2</v>
      </c>
      <c r="F27" s="205">
        <v>2.8924713761950459E-2</v>
      </c>
      <c r="G27" s="205">
        <v>2.5621879946114305E-2</v>
      </c>
      <c r="H27" s="205">
        <v>2.5310959574301697E-2</v>
      </c>
      <c r="I27" s="205">
        <v>2.3760718394395735E-2</v>
      </c>
      <c r="J27" s="205">
        <v>3.0890109890753397E-2</v>
      </c>
      <c r="K27" s="205">
        <v>3.7389904482281841E-2</v>
      </c>
      <c r="L27" s="205">
        <v>3.8729623919234242E-2</v>
      </c>
      <c r="M27" s="205">
        <v>4.822451947799429E-2</v>
      </c>
      <c r="N27" s="199">
        <v>0.95</v>
      </c>
      <c r="O27" s="8"/>
      <c r="P27" s="8"/>
    </row>
    <row r="28" spans="1:16" ht="15" customHeight="1">
      <c r="A28" s="162"/>
      <c r="B28" s="260"/>
      <c r="C28" s="183" t="s">
        <v>240</v>
      </c>
      <c r="D28" s="206">
        <v>2.5815081731861145E-2</v>
      </c>
      <c r="E28" s="206">
        <v>2.5302284868548901E-2</v>
      </c>
      <c r="F28" s="206">
        <v>2.5758979733732132E-2</v>
      </c>
      <c r="G28" s="206">
        <v>2.4974568126106163E-2</v>
      </c>
      <c r="H28" s="206">
        <v>2.5368650957876278E-2</v>
      </c>
      <c r="I28" s="206">
        <v>1.8789839061034631E-2</v>
      </c>
      <c r="J28" s="206">
        <v>1.5607986805949816E-2</v>
      </c>
      <c r="K28" s="206">
        <v>2.0777082957366404E-2</v>
      </c>
      <c r="L28" s="206">
        <v>2.0971130351392326E-2</v>
      </c>
      <c r="M28" s="206">
        <v>2.3166937770594198E-2</v>
      </c>
      <c r="N28" s="200">
        <v>0.22</v>
      </c>
      <c r="O28" s="8"/>
      <c r="P28" s="8"/>
    </row>
    <row r="29" spans="1:16" ht="15" customHeight="1">
      <c r="A29" s="161"/>
      <c r="B29" s="259"/>
      <c r="C29" s="179" t="s">
        <v>241</v>
      </c>
      <c r="D29" s="205">
        <v>2.4348079470480025E-2</v>
      </c>
      <c r="E29" s="205">
        <v>2.123796163327768E-2</v>
      </c>
      <c r="F29" s="205">
        <v>2.2139984358815794E-2</v>
      </c>
      <c r="G29" s="205">
        <v>1.9418807157280896E-2</v>
      </c>
      <c r="H29" s="205">
        <v>1.9140990819868885E-2</v>
      </c>
      <c r="I29" s="205">
        <v>1.3887878702415287E-2</v>
      </c>
      <c r="J29" s="205">
        <v>1.8599113182381749E-2</v>
      </c>
      <c r="K29" s="205">
        <v>2.0729018038941411E-2</v>
      </c>
      <c r="L29" s="205">
        <v>2.6010501650870224E-2</v>
      </c>
      <c r="M29" s="205">
        <v>2.7831206570877457E-2</v>
      </c>
      <c r="N29" s="199">
        <v>0.18</v>
      </c>
      <c r="O29" s="8"/>
      <c r="P29" s="8"/>
    </row>
    <row r="30" spans="1:16" ht="15" customHeight="1">
      <c r="A30" s="162"/>
      <c r="B30" s="260"/>
      <c r="C30" s="183" t="s">
        <v>242</v>
      </c>
      <c r="D30" s="206">
        <v>1.6424725110660055E-2</v>
      </c>
      <c r="E30" s="206">
        <v>1.7411728509369322E-2</v>
      </c>
      <c r="F30" s="206">
        <v>1.5429422192912046E-2</v>
      </c>
      <c r="G30" s="206">
        <v>1.1574615024933227E-2</v>
      </c>
      <c r="H30" s="206">
        <v>1.0776769805862832E-2</v>
      </c>
      <c r="I30" s="206">
        <v>7.9264909761851375E-3</v>
      </c>
      <c r="J30" s="206">
        <v>8.0241080714666454E-3</v>
      </c>
      <c r="K30" s="206">
        <v>9.2535392901444552E-3</v>
      </c>
      <c r="L30" s="206">
        <v>1.0275798140367878E-2</v>
      </c>
      <c r="M30" s="206">
        <v>1.1808478679665836E-2</v>
      </c>
      <c r="N30" s="200">
        <v>0.15</v>
      </c>
      <c r="O30" s="8"/>
      <c r="P30" s="8"/>
    </row>
    <row r="31" spans="1:16" ht="15" customHeight="1">
      <c r="A31" s="161"/>
      <c r="B31" s="259"/>
      <c r="C31" s="179" t="s">
        <v>243</v>
      </c>
      <c r="D31" s="205">
        <v>3.2143233312617717E-2</v>
      </c>
      <c r="E31" s="205">
        <v>2.7653817538144956E-2</v>
      </c>
      <c r="F31" s="205">
        <v>2.5468104353038618E-2</v>
      </c>
      <c r="G31" s="205">
        <v>2.29691353475945E-2</v>
      </c>
      <c r="H31" s="205">
        <v>2.4753645238404624E-2</v>
      </c>
      <c r="I31" s="205">
        <v>1.7851514156692904E-2</v>
      </c>
      <c r="J31" s="205">
        <v>2.0141753429223638E-2</v>
      </c>
      <c r="K31" s="205">
        <v>2.7621362571600201E-2</v>
      </c>
      <c r="L31" s="205">
        <v>3.5355555227363375E-2</v>
      </c>
      <c r="M31" s="205">
        <v>4.0106870017943302E-2</v>
      </c>
      <c r="N31" s="199">
        <v>0.47</v>
      </c>
      <c r="O31" s="8"/>
      <c r="P31" s="8"/>
    </row>
    <row r="32" spans="1:16" ht="15" customHeight="1">
      <c r="A32" s="162"/>
      <c r="B32" s="260" t="s">
        <v>97</v>
      </c>
      <c r="C32" s="183"/>
      <c r="D32" s="140">
        <v>2.1392376197692017E-2</v>
      </c>
      <c r="E32" s="140">
        <v>2.2578307341116533E-2</v>
      </c>
      <c r="F32" s="140">
        <v>1.9418088465524407E-2</v>
      </c>
      <c r="G32" s="140">
        <v>1.8298012079932362E-2</v>
      </c>
      <c r="H32" s="140">
        <v>1.7936411877640966E-2</v>
      </c>
      <c r="I32" s="140">
        <v>1.3378216021774936E-2</v>
      </c>
      <c r="J32" s="140">
        <v>1.5553611102850352E-2</v>
      </c>
      <c r="K32" s="140">
        <v>2.0097324584315866E-2</v>
      </c>
      <c r="L32" s="140">
        <v>2.2295926559022509E-2</v>
      </c>
      <c r="M32" s="140">
        <v>2.7761267071959309E-2</v>
      </c>
      <c r="N32" s="109">
        <v>0.55000000000000004</v>
      </c>
      <c r="O32" s="8"/>
      <c r="P32" s="8"/>
    </row>
    <row r="33" spans="1:16" ht="15" customHeight="1">
      <c r="A33" s="161"/>
      <c r="B33" s="259"/>
      <c r="C33" s="179" t="s">
        <v>244</v>
      </c>
      <c r="D33" s="139">
        <v>1.7269011189781934E-2</v>
      </c>
      <c r="E33" s="139">
        <v>1.6615453949844185E-2</v>
      </c>
      <c r="F33" s="139">
        <v>1.5572987821644875E-2</v>
      </c>
      <c r="G33" s="139">
        <v>1.354517265877595E-2</v>
      </c>
      <c r="H33" s="139">
        <v>1.3518367756388061E-2</v>
      </c>
      <c r="I33" s="139">
        <v>9.6281949374880556E-3</v>
      </c>
      <c r="J33" s="139">
        <v>1.0847154702222792E-2</v>
      </c>
      <c r="K33" s="139">
        <v>1.3081321677727327E-2</v>
      </c>
      <c r="L33" s="139">
        <v>1.4832408167485135E-2</v>
      </c>
      <c r="M33" s="139">
        <v>1.7034413316236171E-2</v>
      </c>
      <c r="N33" s="107">
        <v>0.22</v>
      </c>
      <c r="O33" s="8"/>
      <c r="P33" s="8"/>
    </row>
    <row r="34" spans="1:16" ht="15" customHeight="1">
      <c r="A34" s="162"/>
      <c r="B34" s="260"/>
      <c r="C34" s="183" t="s">
        <v>245</v>
      </c>
      <c r="D34" s="206">
        <v>1.7258627938382769E-2</v>
      </c>
      <c r="E34" s="206">
        <v>2.0383701938388361E-2</v>
      </c>
      <c r="F34" s="206">
        <v>1.8661110587044515E-2</v>
      </c>
      <c r="G34" s="206">
        <v>1.8416817961198626E-2</v>
      </c>
      <c r="H34" s="206">
        <v>1.5650305803204954E-2</v>
      </c>
      <c r="I34" s="206">
        <v>1.2624247237698628E-2</v>
      </c>
      <c r="J34" s="206">
        <v>1.4211686548734158E-2</v>
      </c>
      <c r="K34" s="206">
        <v>1.5917021092262649E-2</v>
      </c>
      <c r="L34" s="206">
        <v>1.7298025768109414E-2</v>
      </c>
      <c r="M34" s="206">
        <v>2.1339182814207089E-2</v>
      </c>
      <c r="N34" s="200">
        <v>0.4</v>
      </c>
      <c r="O34" s="8"/>
      <c r="P34" s="8"/>
    </row>
    <row r="35" spans="1:16" ht="15" customHeight="1">
      <c r="A35" s="161"/>
      <c r="B35" s="259"/>
      <c r="C35" s="179" t="s">
        <v>246</v>
      </c>
      <c r="D35" s="205">
        <v>2.5523839803164219E-2</v>
      </c>
      <c r="E35" s="205">
        <v>2.6555287428852645E-2</v>
      </c>
      <c r="F35" s="205">
        <v>2.1607620956439276E-2</v>
      </c>
      <c r="G35" s="205">
        <v>2.0469600462970538E-2</v>
      </c>
      <c r="H35" s="205">
        <v>2.1335005144547142E-2</v>
      </c>
      <c r="I35" s="205">
        <v>1.5572185555260654E-2</v>
      </c>
      <c r="J35" s="205">
        <v>1.853273075363469E-2</v>
      </c>
      <c r="K35" s="205">
        <v>2.5993183739725829E-2</v>
      </c>
      <c r="L35" s="205">
        <v>2.8787243886292516E-2</v>
      </c>
      <c r="M35" s="205">
        <v>3.6795460952539209E-2</v>
      </c>
      <c r="N35" s="199">
        <v>0.8</v>
      </c>
      <c r="O35" s="8"/>
      <c r="P35" s="8"/>
    </row>
    <row r="36" spans="1:16" ht="15" customHeight="1">
      <c r="A36" s="162"/>
      <c r="B36" s="260" t="s">
        <v>98</v>
      </c>
      <c r="C36" s="183"/>
      <c r="D36" s="140">
        <v>1.8379335838435366E-2</v>
      </c>
      <c r="E36" s="140">
        <v>2.0075689417813628E-2</v>
      </c>
      <c r="F36" s="140">
        <v>1.8662886082087739E-2</v>
      </c>
      <c r="G36" s="140">
        <v>1.6246630099749179E-2</v>
      </c>
      <c r="H36" s="140">
        <v>1.9622994926520868E-2</v>
      </c>
      <c r="I36" s="140">
        <v>1.2835889483971968E-2</v>
      </c>
      <c r="J36" s="140">
        <v>1.3855515848509737E-2</v>
      </c>
      <c r="K36" s="140">
        <v>1.8747403682479492E-2</v>
      </c>
      <c r="L36" s="140">
        <v>1.8764077082877851E-2</v>
      </c>
      <c r="M36" s="140">
        <v>2.0853823632112013E-2</v>
      </c>
      <c r="N36" s="109">
        <v>0.21</v>
      </c>
      <c r="O36" s="8"/>
      <c r="P36" s="8"/>
    </row>
    <row r="37" spans="1:16" ht="15" customHeight="1">
      <c r="A37" s="161"/>
      <c r="B37" s="259"/>
      <c r="C37" s="179" t="s">
        <v>247</v>
      </c>
      <c r="D37" s="205">
        <v>2.9940815689941398E-2</v>
      </c>
      <c r="E37" s="205">
        <v>3.3327024166373093E-2</v>
      </c>
      <c r="F37" s="205">
        <v>3.0409555757582897E-2</v>
      </c>
      <c r="G37" s="205">
        <v>2.7048214759075793E-2</v>
      </c>
      <c r="H37" s="205">
        <v>3.282601708723118E-2</v>
      </c>
      <c r="I37" s="205">
        <v>2.2312498733489394E-2</v>
      </c>
      <c r="J37" s="205">
        <v>2.349595144396318E-2</v>
      </c>
      <c r="K37" s="205">
        <v>3.3069535897998298E-2</v>
      </c>
      <c r="L37" s="205">
        <v>3.3272883826745557E-2</v>
      </c>
      <c r="M37" s="205">
        <v>3.6085469888760373E-2</v>
      </c>
      <c r="N37" s="199">
        <v>0.28000000000000003</v>
      </c>
      <c r="O37" s="8"/>
      <c r="P37" s="8"/>
    </row>
    <row r="38" spans="1:16" ht="15" customHeight="1">
      <c r="A38" s="162"/>
      <c r="B38" s="260"/>
      <c r="C38" s="183" t="s">
        <v>248</v>
      </c>
      <c r="D38" s="206">
        <v>3.974550610180312E-3</v>
      </c>
      <c r="E38" s="206">
        <v>4.0248942235688364E-3</v>
      </c>
      <c r="F38" s="206">
        <v>4.2028345915195876E-3</v>
      </c>
      <c r="G38" s="206">
        <v>3.4860752482661389E-3</v>
      </c>
      <c r="H38" s="206">
        <v>3.8910351954761948E-3</v>
      </c>
      <c r="I38" s="206">
        <v>2.1853000280674926E-3</v>
      </c>
      <c r="J38" s="206">
        <v>2.4782670318311203E-3</v>
      </c>
      <c r="K38" s="206">
        <v>4.5101009996719212E-3</v>
      </c>
      <c r="L38" s="206">
        <v>4.8039792542650733E-3</v>
      </c>
      <c r="M38" s="206">
        <v>6.2974135023010254E-3</v>
      </c>
      <c r="N38" s="200">
        <v>0.15</v>
      </c>
      <c r="O38" s="8"/>
      <c r="P38" s="8"/>
    </row>
    <row r="39" spans="1:16" ht="15" customHeight="1">
      <c r="A39" s="161"/>
      <c r="B39" s="259"/>
      <c r="C39" s="179" t="s">
        <v>249</v>
      </c>
      <c r="D39" s="205">
        <v>1.4441482223629867E-2</v>
      </c>
      <c r="E39" s="205">
        <v>1.5031279169427956E-2</v>
      </c>
      <c r="F39" s="205">
        <v>1.7454727286746904E-2</v>
      </c>
      <c r="G39" s="205">
        <v>1.5348543364357831E-2</v>
      </c>
      <c r="H39" s="205">
        <v>1.6760589481803298E-2</v>
      </c>
      <c r="I39" s="205">
        <v>1.0944202667631225E-2</v>
      </c>
      <c r="J39" s="205">
        <v>1.6380560147507613E-2</v>
      </c>
      <c r="K39" s="205">
        <v>1.8813721691909532E-2</v>
      </c>
      <c r="L39" s="205">
        <v>2.3031467808420244E-2</v>
      </c>
      <c r="M39" s="205">
        <v>2.3219488045785591E-2</v>
      </c>
      <c r="N39" s="199">
        <v>0.02</v>
      </c>
      <c r="O39" s="8"/>
      <c r="P39" s="8"/>
    </row>
    <row r="40" spans="1:16" ht="15" customHeight="1">
      <c r="A40" s="162"/>
      <c r="B40" s="260"/>
      <c r="C40" s="183" t="s">
        <v>250</v>
      </c>
      <c r="D40" s="206">
        <v>9.2542944550900383E-3</v>
      </c>
      <c r="E40" s="206">
        <v>1.0468025998918331E-2</v>
      </c>
      <c r="F40" s="206">
        <v>9.8242498654846303E-3</v>
      </c>
      <c r="G40" s="206">
        <v>8.4218163632926064E-3</v>
      </c>
      <c r="H40" s="206">
        <v>1.1363611581824638E-2</v>
      </c>
      <c r="I40" s="206">
        <v>6.2402767082742547E-3</v>
      </c>
      <c r="J40" s="206">
        <v>7.5951727672450226E-3</v>
      </c>
      <c r="K40" s="206">
        <v>8.3393623221150251E-3</v>
      </c>
      <c r="L40" s="206">
        <v>8.042310716218113E-3</v>
      </c>
      <c r="M40" s="206">
        <v>9.7030860461573727E-3</v>
      </c>
      <c r="N40" s="200">
        <v>0.17</v>
      </c>
      <c r="O40" s="8"/>
      <c r="P40" s="8"/>
    </row>
    <row r="41" spans="1:16" ht="15" customHeight="1">
      <c r="A41" s="161"/>
      <c r="B41" s="259" t="s">
        <v>99</v>
      </c>
      <c r="C41" s="179"/>
      <c r="D41" s="139">
        <v>1.8658491081971033E-2</v>
      </c>
      <c r="E41" s="139">
        <v>1.7810395977035983E-2</v>
      </c>
      <c r="F41" s="139">
        <v>1.8877819666993749E-2</v>
      </c>
      <c r="G41" s="139">
        <v>1.68852724184291E-2</v>
      </c>
      <c r="H41" s="139">
        <v>1.8369873538750962E-2</v>
      </c>
      <c r="I41" s="139">
        <v>1.3501912985009915E-2</v>
      </c>
      <c r="J41" s="139">
        <v>1.613483176767664E-2</v>
      </c>
      <c r="K41" s="139">
        <v>1.765616832870133E-2</v>
      </c>
      <c r="L41" s="139">
        <v>1.8889179352863612E-2</v>
      </c>
      <c r="M41" s="139">
        <v>2.1944415631178056E-2</v>
      </c>
      <c r="N41" s="107">
        <v>0.3</v>
      </c>
      <c r="O41" s="8"/>
      <c r="P41" s="8"/>
    </row>
    <row r="42" spans="1:16" ht="15" customHeight="1">
      <c r="A42" s="162"/>
      <c r="B42" s="260"/>
      <c r="C42" s="183" t="s">
        <v>251</v>
      </c>
      <c r="D42" s="206">
        <v>2.0398290462693772E-2</v>
      </c>
      <c r="E42" s="206">
        <v>1.922429315804669E-2</v>
      </c>
      <c r="F42" s="206">
        <v>2.0623760878786184E-2</v>
      </c>
      <c r="G42" s="206">
        <v>1.9763445801257377E-2</v>
      </c>
      <c r="H42" s="206">
        <v>2.2440815877203563E-2</v>
      </c>
      <c r="I42" s="206">
        <v>1.5880257133175504E-2</v>
      </c>
      <c r="J42" s="206">
        <v>1.8706862036860086E-2</v>
      </c>
      <c r="K42" s="206">
        <v>2.259545187065656E-2</v>
      </c>
      <c r="L42" s="206">
        <v>2.4311304246042231E-2</v>
      </c>
      <c r="M42" s="206">
        <v>2.4840204118620302E-2</v>
      </c>
      <c r="N42" s="200">
        <v>0.05</v>
      </c>
      <c r="O42" s="8"/>
      <c r="P42" s="8"/>
    </row>
    <row r="43" spans="1:16" ht="15" customHeight="1">
      <c r="A43" s="161"/>
      <c r="B43" s="259"/>
      <c r="C43" s="179" t="s">
        <v>252</v>
      </c>
      <c r="D43" s="205">
        <v>2.1892862597228436E-2</v>
      </c>
      <c r="E43" s="205">
        <v>2.2266237715407797E-2</v>
      </c>
      <c r="F43" s="205">
        <v>2.1865932190801924E-2</v>
      </c>
      <c r="G43" s="205">
        <v>2.2028447404698153E-2</v>
      </c>
      <c r="H43" s="205">
        <v>2.3372632542117324E-2</v>
      </c>
      <c r="I43" s="205">
        <v>1.539839056897126E-2</v>
      </c>
      <c r="J43" s="205">
        <v>1.6602719504280678E-2</v>
      </c>
      <c r="K43" s="205">
        <v>1.9311942732211176E-2</v>
      </c>
      <c r="L43" s="205">
        <v>1.9107971847122387E-2</v>
      </c>
      <c r="M43" s="205">
        <v>2.1580785465100311E-2</v>
      </c>
      <c r="N43" s="199">
        <v>0.25</v>
      </c>
      <c r="O43" s="8"/>
      <c r="P43" s="8"/>
    </row>
    <row r="44" spans="1:16" ht="15" customHeight="1">
      <c r="A44" s="162"/>
      <c r="B44" s="260"/>
      <c r="C44" s="183" t="s">
        <v>253</v>
      </c>
      <c r="D44" s="206">
        <v>1.1939629996282113E-2</v>
      </c>
      <c r="E44" s="206">
        <v>1.0345299685777779E-2</v>
      </c>
      <c r="F44" s="206">
        <v>1.3224703519448371E-2</v>
      </c>
      <c r="G44" s="206">
        <v>9.6227738514670664E-3</v>
      </c>
      <c r="H44" s="206">
        <v>1.0890851243765433E-2</v>
      </c>
      <c r="I44" s="206">
        <v>8.588082655763293E-3</v>
      </c>
      <c r="J44" s="206">
        <v>1.1163648667557938E-2</v>
      </c>
      <c r="K44" s="206">
        <v>1.1147600585342234E-2</v>
      </c>
      <c r="L44" s="206">
        <v>1.3315599737867998E-2</v>
      </c>
      <c r="M44" s="206">
        <v>1.9192534870945445E-2</v>
      </c>
      <c r="N44" s="200">
        <v>0.59</v>
      </c>
      <c r="O44" s="8"/>
      <c r="P44" s="8"/>
    </row>
    <row r="45" spans="1:16" ht="15" customHeight="1">
      <c r="A45" s="161"/>
      <c r="B45" s="259"/>
      <c r="C45" s="179" t="s">
        <v>254</v>
      </c>
      <c r="D45" s="205">
        <v>1.5760568394462895E-2</v>
      </c>
      <c r="E45" s="205">
        <v>1.5701686572064676E-2</v>
      </c>
      <c r="F45" s="205">
        <v>1.4751472340515694E-2</v>
      </c>
      <c r="G45" s="205">
        <v>1.3176958255988415E-2</v>
      </c>
      <c r="H45" s="205">
        <v>1.4384804094847924E-2</v>
      </c>
      <c r="I45" s="205">
        <v>1.1192773876418184E-2</v>
      </c>
      <c r="J45" s="205">
        <v>1.7959220518202517E-2</v>
      </c>
      <c r="K45" s="205">
        <v>1.3627614924153113E-2</v>
      </c>
      <c r="L45" s="205">
        <v>1.7671912868300881E-2</v>
      </c>
      <c r="M45" s="205">
        <v>2.0334093215464314E-2</v>
      </c>
      <c r="N45" s="199">
        <v>0.26</v>
      </c>
      <c r="O45" s="8"/>
      <c r="P45" s="8"/>
    </row>
    <row r="46" spans="1:16" ht="15" customHeight="1">
      <c r="A46" s="162"/>
      <c r="B46" s="260"/>
      <c r="C46" s="183" t="s">
        <v>255</v>
      </c>
      <c r="D46" s="206">
        <v>1.93649438681903E-2</v>
      </c>
      <c r="E46" s="206">
        <v>1.8058147165264018E-2</v>
      </c>
      <c r="F46" s="206">
        <v>1.990361380104996E-2</v>
      </c>
      <c r="G46" s="206">
        <v>1.6487647111224628E-2</v>
      </c>
      <c r="H46" s="206">
        <v>1.7402571710838827E-2</v>
      </c>
      <c r="I46" s="206">
        <v>1.3913271748556326E-2</v>
      </c>
      <c r="J46" s="206">
        <v>1.5737991336551422E-2</v>
      </c>
      <c r="K46" s="206">
        <v>1.8024356892885878E-2</v>
      </c>
      <c r="L46" s="206">
        <v>1.8376049086615446E-2</v>
      </c>
      <c r="M46" s="206">
        <v>2.2153491292913864E-2</v>
      </c>
      <c r="N46" s="200">
        <v>0.38</v>
      </c>
      <c r="O46" s="8"/>
      <c r="P46" s="8"/>
    </row>
    <row r="47" spans="1:16" ht="15" customHeight="1">
      <c r="A47" s="161"/>
      <c r="B47" s="259" t="s">
        <v>100</v>
      </c>
      <c r="C47" s="179"/>
      <c r="D47" s="139">
        <v>2.6281051270366576E-2</v>
      </c>
      <c r="E47" s="139">
        <v>2.6015490026135749E-2</v>
      </c>
      <c r="F47" s="139">
        <v>2.4656744357833042E-2</v>
      </c>
      <c r="G47" s="139">
        <v>2.398387823388445E-2</v>
      </c>
      <c r="H47" s="139">
        <v>2.6571414629026489E-2</v>
      </c>
      <c r="I47" s="139">
        <v>2.0604980553554999E-2</v>
      </c>
      <c r="J47" s="139">
        <v>2.5501629186318292E-2</v>
      </c>
      <c r="K47" s="139">
        <v>2.7898862325745569E-2</v>
      </c>
      <c r="L47" s="139">
        <v>3.2165440699175089E-2</v>
      </c>
      <c r="M47" s="139">
        <v>3.843890079237168E-2</v>
      </c>
      <c r="N47" s="107">
        <v>0.62</v>
      </c>
      <c r="O47" s="8"/>
      <c r="P47" s="8"/>
    </row>
    <row r="48" spans="1:16" ht="15" customHeight="1">
      <c r="A48" s="162"/>
      <c r="B48" s="260"/>
      <c r="C48" s="183" t="s">
        <v>256</v>
      </c>
      <c r="D48" s="206">
        <v>2.5627934651288015E-2</v>
      </c>
      <c r="E48" s="206">
        <v>2.5681616232515279E-2</v>
      </c>
      <c r="F48" s="206">
        <v>2.6939293753972835E-2</v>
      </c>
      <c r="G48" s="206">
        <v>2.6940357396363426E-2</v>
      </c>
      <c r="H48" s="206">
        <v>3.0517539457316382E-2</v>
      </c>
      <c r="I48" s="206">
        <v>2.4412187608610303E-2</v>
      </c>
      <c r="J48" s="206">
        <v>3.1335326437622331E-2</v>
      </c>
      <c r="K48" s="206">
        <v>3.5434876353668238E-2</v>
      </c>
      <c r="L48" s="206">
        <v>4.0579130849209194E-2</v>
      </c>
      <c r="M48" s="206">
        <v>4.9893385889659712E-2</v>
      </c>
      <c r="N48" s="200">
        <v>0.93</v>
      </c>
      <c r="O48" s="8"/>
      <c r="P48" s="8"/>
    </row>
    <row r="49" spans="1:18" ht="15" customHeight="1">
      <c r="A49" s="161"/>
      <c r="B49" s="259"/>
      <c r="C49" s="179" t="s">
        <v>257</v>
      </c>
      <c r="D49" s="205">
        <v>2.9353722158598758E-2</v>
      </c>
      <c r="E49" s="205">
        <v>2.8586442505114516E-2</v>
      </c>
      <c r="F49" s="205">
        <v>2.2755695959056542E-2</v>
      </c>
      <c r="G49" s="205">
        <v>2.1144750124829966E-2</v>
      </c>
      <c r="H49" s="205">
        <v>2.039062448998168E-2</v>
      </c>
      <c r="I49" s="205">
        <v>1.4934707393256818E-2</v>
      </c>
      <c r="J49" s="205">
        <v>1.7177794385483194E-2</v>
      </c>
      <c r="K49" s="205">
        <v>1.855552874535071E-2</v>
      </c>
      <c r="L49" s="205">
        <v>2.1623720813104506E-2</v>
      </c>
      <c r="M49" s="205">
        <v>2.4265234740777863E-2</v>
      </c>
      <c r="N49" s="199">
        <v>0.27</v>
      </c>
      <c r="O49" s="8"/>
      <c r="P49" s="8"/>
    </row>
    <row r="50" spans="1:18" ht="15" customHeight="1">
      <c r="A50" s="162"/>
      <c r="B50" s="260"/>
      <c r="C50" s="183" t="s">
        <v>258</v>
      </c>
      <c r="D50" s="206">
        <v>2.4824601528441188E-2</v>
      </c>
      <c r="E50" s="206">
        <v>2.4417650694770383E-2</v>
      </c>
      <c r="F50" s="206">
        <v>2.1918152673774633E-2</v>
      </c>
      <c r="G50" s="206">
        <v>2.0645206334761253E-2</v>
      </c>
      <c r="H50" s="206">
        <v>2.4042891159899597E-2</v>
      </c>
      <c r="I50" s="206">
        <v>1.8040214019800774E-2</v>
      </c>
      <c r="J50" s="206">
        <v>2.1523798917662609E-2</v>
      </c>
      <c r="K50" s="206">
        <v>2.0638755015364437E-2</v>
      </c>
      <c r="L50" s="206">
        <v>2.4419110903801729E-2</v>
      </c>
      <c r="M50" s="206">
        <v>2.7927167811130853E-2</v>
      </c>
      <c r="N50" s="200">
        <v>0.35</v>
      </c>
      <c r="O50" s="8"/>
      <c r="P50" s="8"/>
    </row>
    <row r="51" spans="1:18" ht="15" customHeight="1">
      <c r="A51" s="161"/>
      <c r="B51" s="259" t="s">
        <v>259</v>
      </c>
      <c r="C51" s="179"/>
      <c r="D51" s="139">
        <v>1.3091101066178298E-3</v>
      </c>
      <c r="E51" s="139">
        <v>1.244878911240405E-3</v>
      </c>
      <c r="F51" s="139">
        <v>1.2157443150854676E-3</v>
      </c>
      <c r="G51" s="139">
        <v>8.4122115098506209E-4</v>
      </c>
      <c r="H51" s="139">
        <v>1.2429211956134056E-3</v>
      </c>
      <c r="I51" s="139">
        <v>8.2191353080257482E-4</v>
      </c>
      <c r="J51" s="139">
        <v>1.2476234948433193E-3</v>
      </c>
      <c r="K51" s="139">
        <v>1.5533914615335784E-3</v>
      </c>
      <c r="L51" s="139">
        <v>1.9487681275820257E-3</v>
      </c>
      <c r="M51" s="139">
        <v>2.170552500498496E-3</v>
      </c>
      <c r="N51" s="107">
        <v>0.03</v>
      </c>
      <c r="O51" s="8"/>
      <c r="P51" s="8"/>
    </row>
    <row r="52" spans="1:18" ht="15" customHeight="1">
      <c r="A52" s="162"/>
      <c r="B52" s="260" t="s">
        <v>260</v>
      </c>
      <c r="C52" s="183"/>
      <c r="D52" s="140">
        <v>1.1603898547528487E-2</v>
      </c>
      <c r="E52" s="140">
        <v>7.9928733960133776E-3</v>
      </c>
      <c r="F52" s="140">
        <v>8.1957538059272105E-3</v>
      </c>
      <c r="G52" s="140">
        <v>8.7274262584923004E-3</v>
      </c>
      <c r="H52" s="140">
        <v>1.0977579309277589E-2</v>
      </c>
      <c r="I52" s="140">
        <v>8.391470547583036E-3</v>
      </c>
      <c r="J52" s="140">
        <v>8.3726421262543382E-3</v>
      </c>
      <c r="K52" s="140">
        <v>9.782984347912943E-3</v>
      </c>
      <c r="L52" s="140">
        <v>1.3610009641473924E-2</v>
      </c>
      <c r="M52" s="140">
        <v>1.964978333764919E-2</v>
      </c>
      <c r="N52" s="109">
        <v>0.6</v>
      </c>
      <c r="O52" s="8"/>
      <c r="P52" s="8"/>
    </row>
    <row r="53" spans="1:18" ht="15" customHeight="1">
      <c r="A53" s="161"/>
      <c r="B53" s="259" t="s">
        <v>261</v>
      </c>
      <c r="C53" s="179"/>
      <c r="D53" s="139">
        <v>2.5315245792680392E-3</v>
      </c>
      <c r="E53" s="139">
        <v>2.6072191728605154E-3</v>
      </c>
      <c r="F53" s="139">
        <v>2.3984443334241629E-3</v>
      </c>
      <c r="G53" s="139">
        <v>2.3260439074257876E-3</v>
      </c>
      <c r="H53" s="139">
        <v>2.4131261085217326E-3</v>
      </c>
      <c r="I53" s="139">
        <v>1.8341532129681028E-3</v>
      </c>
      <c r="J53" s="139">
        <v>2.1365949157141528E-3</v>
      </c>
      <c r="K53" s="139">
        <v>2.7528594076390101E-3</v>
      </c>
      <c r="L53" s="139">
        <v>3.4336279778045139E-3</v>
      </c>
      <c r="M53" s="139">
        <v>3.5905396211033825E-3</v>
      </c>
      <c r="N53" s="107">
        <v>0.02</v>
      </c>
      <c r="O53" s="8"/>
      <c r="P53" s="8"/>
    </row>
    <row r="54" spans="1:18" ht="15" customHeight="1">
      <c r="A54" s="162"/>
      <c r="B54" s="260" t="s">
        <v>105</v>
      </c>
      <c r="C54" s="183"/>
      <c r="D54" s="140">
        <v>1.5197266087372929E-2</v>
      </c>
      <c r="E54" s="140">
        <v>1.6740036611622398E-2</v>
      </c>
      <c r="F54" s="140">
        <v>1.3463650275654354E-2</v>
      </c>
      <c r="G54" s="140">
        <v>1.210051190649286E-2</v>
      </c>
      <c r="H54" s="140">
        <v>1.2293437398713494E-2</v>
      </c>
      <c r="I54" s="140">
        <v>8.7443974960248784E-3</v>
      </c>
      <c r="J54" s="140">
        <v>8.9745001048141815E-3</v>
      </c>
      <c r="K54" s="140">
        <v>1.2991804069744562E-2</v>
      </c>
      <c r="L54" s="140">
        <v>1.704416952537726E-2</v>
      </c>
      <c r="M54" s="140">
        <v>1.7972215738431874E-2</v>
      </c>
      <c r="N54" s="109">
        <v>0.1</v>
      </c>
      <c r="O54" s="8"/>
      <c r="P54" s="8"/>
    </row>
    <row r="55" spans="1:18" ht="15" customHeight="1">
      <c r="A55" s="161"/>
      <c r="B55" s="259" t="s">
        <v>53</v>
      </c>
      <c r="C55" s="172"/>
      <c r="D55" s="139">
        <v>1.5226034798351093E-2</v>
      </c>
      <c r="E55" s="139">
        <v>1.5917051245351525E-2</v>
      </c>
      <c r="F55" s="139">
        <v>1.2338548281339496E-2</v>
      </c>
      <c r="G55" s="139">
        <v>1.0615051135301786E-2</v>
      </c>
      <c r="H55" s="139">
        <v>1.1340149055041215E-2</v>
      </c>
      <c r="I55" s="139">
        <v>7.8724465171326162E-3</v>
      </c>
      <c r="J55" s="139">
        <v>8.2069984644713469E-3</v>
      </c>
      <c r="K55" s="139">
        <v>1.0737749660208306E-2</v>
      </c>
      <c r="L55" s="139">
        <v>1.4725650636122802E-2</v>
      </c>
      <c r="M55" s="139">
        <v>1.7141836275979001E-2</v>
      </c>
      <c r="N55" s="107">
        <v>0.24</v>
      </c>
      <c r="O55" s="8"/>
      <c r="P55" s="8"/>
    </row>
    <row r="56" spans="1:18" ht="15" customHeight="1">
      <c r="A56" s="162"/>
      <c r="B56" s="260" t="s">
        <v>50</v>
      </c>
      <c r="C56" s="169"/>
      <c r="D56" s="140">
        <v>1.1198006329111776E-2</v>
      </c>
      <c r="E56" s="140">
        <v>1.0969611459865617E-2</v>
      </c>
      <c r="F56" s="140">
        <v>8.0327184114424351E-3</v>
      </c>
      <c r="G56" s="140">
        <v>8.2123887024195714E-3</v>
      </c>
      <c r="H56" s="140">
        <v>1.1005928321973311E-2</v>
      </c>
      <c r="I56" s="140">
        <v>9.6940029381334027E-3</v>
      </c>
      <c r="J56" s="140">
        <v>8.9634045770738344E-3</v>
      </c>
      <c r="K56" s="140">
        <v>1.260106961286536E-2</v>
      </c>
      <c r="L56" s="140">
        <v>1.6360629080870822E-2</v>
      </c>
      <c r="M56" s="140">
        <v>1.5166905564065808E-2</v>
      </c>
      <c r="N56" s="109">
        <v>-0.12</v>
      </c>
      <c r="O56" s="8"/>
      <c r="P56" s="8"/>
    </row>
    <row r="57" spans="1:18" ht="15" customHeight="1">
      <c r="A57" s="163" t="s">
        <v>55</v>
      </c>
      <c r="B57" s="273"/>
      <c r="C57" s="274"/>
      <c r="D57" s="141">
        <v>1.9128239496730935E-3</v>
      </c>
      <c r="E57" s="141">
        <v>2.0692748078174855E-3</v>
      </c>
      <c r="F57" s="141">
        <v>1.7317410932350238E-3</v>
      </c>
      <c r="G57" s="141">
        <v>1.6741765337327053E-3</v>
      </c>
      <c r="H57" s="141">
        <v>1.8232805271938045E-3</v>
      </c>
      <c r="I57" s="141">
        <v>1.6010800196993018E-3</v>
      </c>
      <c r="J57" s="141">
        <v>1.8795271495781062E-3</v>
      </c>
      <c r="K57" s="141">
        <v>2.3164792450991374E-3</v>
      </c>
      <c r="L57" s="141">
        <v>2.9509717454989917E-3</v>
      </c>
      <c r="M57" s="141">
        <v>3.0141517088589031E-3</v>
      </c>
      <c r="N57" s="145">
        <v>0</v>
      </c>
      <c r="O57" s="8"/>
      <c r="P57" s="8"/>
    </row>
    <row r="58" spans="1:1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54"/>
      <c r="O58" s="41"/>
      <c r="P58" s="41"/>
      <c r="Q58" s="44"/>
      <c r="R58" s="44"/>
    </row>
    <row r="59" spans="1:18">
      <c r="A59" s="70" t="s">
        <v>143</v>
      </c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54"/>
      <c r="O59" s="40"/>
      <c r="P59" s="40"/>
      <c r="Q59" s="44"/>
      <c r="R59" s="44"/>
    </row>
    <row r="60" spans="1:18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54"/>
      <c r="O60" s="40"/>
      <c r="P60" s="40"/>
      <c r="Q60" s="44"/>
      <c r="R60" s="44"/>
    </row>
    <row r="61" spans="1:18">
      <c r="A61" s="70" t="s">
        <v>129</v>
      </c>
      <c r="B61" s="70" t="s">
        <v>142</v>
      </c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54"/>
      <c r="O61" s="40"/>
      <c r="P61" s="40"/>
      <c r="Q61" s="44"/>
      <c r="R61" s="44"/>
    </row>
    <row r="62" spans="1:18">
      <c r="A62" s="70"/>
      <c r="B62" s="70" t="s">
        <v>66</v>
      </c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54"/>
      <c r="O62" s="40"/>
      <c r="P62" s="40"/>
      <c r="Q62" s="44"/>
      <c r="R62" s="44"/>
    </row>
    <row r="63" spans="1:18">
      <c r="A63" s="70"/>
      <c r="B63" s="70" t="s">
        <v>67</v>
      </c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54"/>
      <c r="O63" s="40"/>
      <c r="P63" s="40"/>
      <c r="Q63" s="44"/>
      <c r="R63" s="44"/>
    </row>
    <row r="64" spans="1:18">
      <c r="A64" s="70"/>
      <c r="B64" s="70" t="s">
        <v>74</v>
      </c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54"/>
      <c r="O64" s="40"/>
      <c r="P64" s="40"/>
      <c r="Q64" s="44"/>
      <c r="R64" s="44"/>
    </row>
    <row r="65" spans="1:18">
      <c r="A65" s="70"/>
      <c r="B65" s="70" t="s">
        <v>68</v>
      </c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54"/>
      <c r="O65" s="40"/>
      <c r="P65" s="40"/>
      <c r="Q65" s="44"/>
      <c r="R65" s="44"/>
    </row>
    <row r="66" spans="1:18">
      <c r="A66" s="70"/>
      <c r="B66" s="70" t="s">
        <v>69</v>
      </c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54"/>
      <c r="O66" s="40"/>
      <c r="P66" s="40"/>
      <c r="Q66" s="44"/>
      <c r="R66" s="44"/>
    </row>
    <row r="67" spans="1:18">
      <c r="A67" s="70"/>
      <c r="B67" s="70" t="s">
        <v>70</v>
      </c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54"/>
      <c r="O67" s="40"/>
      <c r="P67" s="40"/>
      <c r="Q67" s="44"/>
      <c r="R67" s="44"/>
    </row>
    <row r="68" spans="1:18">
      <c r="A68" s="70"/>
      <c r="B68" s="70" t="s">
        <v>71</v>
      </c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54"/>
      <c r="O68" s="40"/>
      <c r="P68" s="40"/>
      <c r="Q68" s="44"/>
      <c r="R68" s="44"/>
    </row>
    <row r="69" spans="1:18">
      <c r="A69" s="70"/>
      <c r="B69" s="70" t="s">
        <v>72</v>
      </c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54"/>
      <c r="O69" s="40"/>
      <c r="P69" s="40"/>
      <c r="Q69" s="44"/>
      <c r="R69" s="44"/>
    </row>
    <row r="70" spans="1:18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54"/>
      <c r="O70" s="40"/>
      <c r="P70" s="40"/>
      <c r="Q70" s="44"/>
      <c r="R70" s="44"/>
    </row>
    <row r="71" spans="1:18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54"/>
      <c r="O71" s="40"/>
      <c r="P71" s="40"/>
      <c r="Q71" s="44"/>
      <c r="R71" s="44"/>
    </row>
    <row r="72" spans="1:18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54"/>
      <c r="O72" s="40"/>
      <c r="P72" s="40"/>
      <c r="Q72" s="44"/>
      <c r="R72" s="44"/>
    </row>
    <row r="73" spans="1:18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54"/>
      <c r="O73" s="40"/>
      <c r="P73" s="40"/>
      <c r="Q73" s="44"/>
      <c r="R73" s="44"/>
    </row>
    <row r="74" spans="1:18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54"/>
      <c r="O74" s="40"/>
      <c r="P74" s="40"/>
      <c r="Q74" s="44"/>
      <c r="R74" s="44"/>
    </row>
    <row r="75" spans="1:18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54"/>
      <c r="O75" s="40"/>
      <c r="P75" s="40"/>
      <c r="Q75" s="44"/>
      <c r="R75" s="44"/>
    </row>
    <row r="76" spans="1:18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54"/>
      <c r="O76" s="8"/>
      <c r="P76" s="8"/>
    </row>
    <row r="77" spans="1:18">
      <c r="O77" s="8"/>
      <c r="P77" s="8"/>
    </row>
    <row r="78" spans="1:18">
      <c r="O78" s="8"/>
      <c r="P78" s="8"/>
    </row>
    <row r="79" spans="1:18">
      <c r="O79" s="8"/>
      <c r="P79" s="8"/>
    </row>
    <row r="80" spans="1:18">
      <c r="O80" s="8"/>
      <c r="P80" s="8"/>
    </row>
    <row r="81" spans="15:16">
      <c r="O81" s="8"/>
      <c r="P81" s="8"/>
    </row>
    <row r="82" spans="15:16">
      <c r="O82" s="8"/>
      <c r="P82" s="8"/>
    </row>
    <row r="83" spans="15:16">
      <c r="O83" s="8"/>
      <c r="P83" s="8"/>
    </row>
    <row r="84" spans="15:16">
      <c r="O84" s="8"/>
      <c r="P84" s="8"/>
    </row>
    <row r="85" spans="15:16">
      <c r="O85" s="8"/>
      <c r="P85" s="8"/>
    </row>
    <row r="86" spans="15:16">
      <c r="O86" s="8"/>
      <c r="P86" s="8"/>
    </row>
  </sheetData>
  <mergeCells count="17">
    <mergeCell ref="C4:C6"/>
    <mergeCell ref="D4:D6"/>
    <mergeCell ref="A2:N2"/>
    <mergeCell ref="A1:N1"/>
    <mergeCell ref="A7:B7"/>
    <mergeCell ref="N4:N6"/>
    <mergeCell ref="J4:J6"/>
    <mergeCell ref="K4:K6"/>
    <mergeCell ref="L4:L6"/>
    <mergeCell ref="M4:M6"/>
    <mergeCell ref="E4:E6"/>
    <mergeCell ref="F4:F6"/>
    <mergeCell ref="G4:G6"/>
    <mergeCell ref="H4:H6"/>
    <mergeCell ref="I4:I6"/>
    <mergeCell ref="A4:A6"/>
    <mergeCell ref="B4:B6"/>
  </mergeCells>
  <hyperlinks>
    <hyperlink ref="P1" location="INDICE!Área_de_impresión" display="INDICE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9"/>
  <dimension ref="A1:P112"/>
  <sheetViews>
    <sheetView showGridLines="0" zoomScale="90" zoomScaleNormal="90" workbookViewId="0">
      <selection sqref="A1:M1"/>
    </sheetView>
  </sheetViews>
  <sheetFormatPr baseColWidth="10" defaultRowHeight="12.75"/>
  <cols>
    <col min="1" max="1" width="21.5703125" style="8" bestFit="1" customWidth="1"/>
    <col min="2" max="2" width="27.28515625" style="8" customWidth="1"/>
    <col min="3" max="3" width="23" style="8" bestFit="1" customWidth="1"/>
    <col min="4" max="4" width="13.7109375" style="8" customWidth="1"/>
    <col min="5" max="5" width="13.7109375" style="28" customWidth="1"/>
    <col min="6" max="13" width="13.7109375" style="8" customWidth="1"/>
    <col min="14" max="14" width="1.85546875" style="8" customWidth="1"/>
    <col min="15" max="15" width="8.5703125" style="2" bestFit="1" customWidth="1"/>
    <col min="16" max="16384" width="11.42578125" style="8"/>
  </cols>
  <sheetData>
    <row r="1" spans="1:16" s="30" customFormat="1" ht="30" customHeight="1">
      <c r="A1" s="323" t="s">
        <v>54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5"/>
      <c r="O1" s="31" t="s">
        <v>134</v>
      </c>
      <c r="P1" s="8"/>
    </row>
    <row r="2" spans="1:16" ht="30" customHeight="1">
      <c r="A2" s="365" t="s">
        <v>299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38"/>
    </row>
    <row r="3" spans="1:16" ht="8.1" customHeight="1">
      <c r="A3" s="44"/>
      <c r="B3" s="44"/>
      <c r="C3" s="44"/>
      <c r="D3" s="44"/>
      <c r="E3" s="55"/>
      <c r="F3" s="44"/>
      <c r="G3" s="44"/>
      <c r="H3" s="44"/>
      <c r="I3" s="44"/>
      <c r="J3" s="44"/>
      <c r="K3" s="44"/>
      <c r="L3" s="44"/>
      <c r="M3" s="44"/>
      <c r="N3" s="44"/>
      <c r="O3" s="40"/>
      <c r="P3" s="44"/>
    </row>
    <row r="4" spans="1:16" ht="15" customHeight="1">
      <c r="A4" s="387" t="s">
        <v>224</v>
      </c>
      <c r="B4" s="387" t="s">
        <v>225</v>
      </c>
      <c r="C4" s="387" t="s">
        <v>226</v>
      </c>
      <c r="D4" s="394" t="s">
        <v>0</v>
      </c>
      <c r="E4" s="395"/>
      <c r="F4" s="394" t="s">
        <v>37</v>
      </c>
      <c r="G4" s="395" t="s">
        <v>37</v>
      </c>
      <c r="H4" s="394" t="s">
        <v>42</v>
      </c>
      <c r="I4" s="395"/>
      <c r="J4" s="394" t="s">
        <v>39</v>
      </c>
      <c r="K4" s="395"/>
      <c r="L4" s="394" t="s">
        <v>267</v>
      </c>
      <c r="M4" s="395" t="s">
        <v>39</v>
      </c>
      <c r="O4" s="8"/>
    </row>
    <row r="5" spans="1:16" ht="15" customHeight="1">
      <c r="A5" s="374"/>
      <c r="B5" s="374"/>
      <c r="C5" s="374"/>
      <c r="D5" s="286" t="s">
        <v>107</v>
      </c>
      <c r="E5" s="286" t="s">
        <v>145</v>
      </c>
      <c r="F5" s="286" t="s">
        <v>107</v>
      </c>
      <c r="G5" s="286" t="s">
        <v>145</v>
      </c>
      <c r="H5" s="286" t="s">
        <v>107</v>
      </c>
      <c r="I5" s="286" t="s">
        <v>145</v>
      </c>
      <c r="J5" s="286" t="s">
        <v>107</v>
      </c>
      <c r="K5" s="286" t="s">
        <v>145</v>
      </c>
      <c r="L5" s="286" t="s">
        <v>107</v>
      </c>
      <c r="M5" s="286" t="s">
        <v>145</v>
      </c>
      <c r="O5" s="8"/>
    </row>
    <row r="6" spans="1:16" s="5" customFormat="1" ht="15" customHeight="1">
      <c r="A6" s="349" t="s">
        <v>0</v>
      </c>
      <c r="B6" s="383"/>
      <c r="C6" s="256"/>
      <c r="D6" s="266">
        <v>108775</v>
      </c>
      <c r="E6" s="244">
        <v>1</v>
      </c>
      <c r="F6" s="266">
        <v>57018</v>
      </c>
      <c r="G6" s="244">
        <v>1</v>
      </c>
      <c r="H6" s="266">
        <v>3343</v>
      </c>
      <c r="I6" s="244">
        <v>1</v>
      </c>
      <c r="J6" s="266">
        <v>47168</v>
      </c>
      <c r="K6" s="244">
        <v>1</v>
      </c>
      <c r="L6" s="266">
        <v>1246</v>
      </c>
      <c r="M6" s="244">
        <v>1</v>
      </c>
    </row>
    <row r="7" spans="1:16" ht="15" customHeight="1">
      <c r="A7" s="160" t="s">
        <v>141</v>
      </c>
      <c r="B7" s="257"/>
      <c r="C7" s="169"/>
      <c r="D7" s="114">
        <v>13224</v>
      </c>
      <c r="E7" s="137">
        <v>0.12157205240174672</v>
      </c>
      <c r="F7" s="114">
        <v>6189</v>
      </c>
      <c r="G7" s="137">
        <v>0.10854467010417763</v>
      </c>
      <c r="H7" s="114">
        <v>295</v>
      </c>
      <c r="I7" s="137">
        <v>8.8244092132814839E-2</v>
      </c>
      <c r="J7" s="114">
        <v>6641</v>
      </c>
      <c r="K7" s="137">
        <v>0.14079460651289011</v>
      </c>
      <c r="L7" s="114">
        <v>99</v>
      </c>
      <c r="M7" s="137">
        <v>7.9454253611556988E-2</v>
      </c>
      <c r="O7" s="8"/>
    </row>
    <row r="8" spans="1:16" ht="15" customHeight="1">
      <c r="A8" s="161" t="s">
        <v>104</v>
      </c>
      <c r="B8" s="258"/>
      <c r="C8" s="172"/>
      <c r="D8" s="116">
        <v>76627</v>
      </c>
      <c r="E8" s="139">
        <v>0.70445414847161569</v>
      </c>
      <c r="F8" s="116">
        <v>41417</v>
      </c>
      <c r="G8" s="139">
        <v>0.72638465046125789</v>
      </c>
      <c r="H8" s="116">
        <v>2118</v>
      </c>
      <c r="I8" s="139">
        <v>0.63356266826204011</v>
      </c>
      <c r="J8" s="116">
        <v>32108</v>
      </c>
      <c r="K8" s="139">
        <v>0.68071573948439623</v>
      </c>
      <c r="L8" s="116">
        <v>984</v>
      </c>
      <c r="M8" s="139">
        <v>0.7897271268057785</v>
      </c>
      <c r="O8" s="8"/>
    </row>
    <row r="9" spans="1:16" ht="15" customHeight="1">
      <c r="A9" s="162" t="s">
        <v>2</v>
      </c>
      <c r="B9" s="257"/>
      <c r="C9" s="169"/>
      <c r="D9" s="118">
        <v>71861</v>
      </c>
      <c r="E9" s="140">
        <v>0.66063893357848769</v>
      </c>
      <c r="F9" s="118">
        <v>38550</v>
      </c>
      <c r="G9" s="140">
        <v>0.67610228348942436</v>
      </c>
      <c r="H9" s="118">
        <v>2129</v>
      </c>
      <c r="I9" s="140">
        <v>0.63685312593478915</v>
      </c>
      <c r="J9" s="118">
        <v>30156</v>
      </c>
      <c r="K9" s="140">
        <v>0.63933175033921308</v>
      </c>
      <c r="L9" s="118">
        <v>1026</v>
      </c>
      <c r="M9" s="140">
        <v>0.8234349919743178</v>
      </c>
      <c r="O9" s="8"/>
    </row>
    <row r="10" spans="1:16" ht="15" customHeight="1">
      <c r="A10" s="161"/>
      <c r="B10" s="259" t="s">
        <v>93</v>
      </c>
      <c r="C10" s="179"/>
      <c r="D10" s="116">
        <v>3735</v>
      </c>
      <c r="E10" s="139">
        <v>3.4336934038152148E-2</v>
      </c>
      <c r="F10" s="116">
        <v>1484</v>
      </c>
      <c r="G10" s="139">
        <v>2.6026868708127256E-2</v>
      </c>
      <c r="H10" s="116">
        <v>88</v>
      </c>
      <c r="I10" s="139">
        <v>2.6323661381992224E-2</v>
      </c>
      <c r="J10" s="116">
        <v>2138</v>
      </c>
      <c r="K10" s="139">
        <v>4.5327340569877882E-2</v>
      </c>
      <c r="L10" s="116">
        <v>25</v>
      </c>
      <c r="M10" s="139">
        <v>2.0064205457463884E-2</v>
      </c>
      <c r="O10" s="8"/>
    </row>
    <row r="11" spans="1:16" ht="15" customHeight="1">
      <c r="A11" s="162"/>
      <c r="B11" s="260"/>
      <c r="C11" s="183" t="s">
        <v>227</v>
      </c>
      <c r="D11" s="268">
        <v>269</v>
      </c>
      <c r="E11" s="206">
        <v>2.4729947138588831E-3</v>
      </c>
      <c r="F11" s="268">
        <v>89</v>
      </c>
      <c r="G11" s="206">
        <v>1.5609105896383598E-3</v>
      </c>
      <c r="H11" s="268">
        <v>9</v>
      </c>
      <c r="I11" s="206">
        <v>2.6921926413401138E-3</v>
      </c>
      <c r="J11" s="268">
        <v>170</v>
      </c>
      <c r="K11" s="206">
        <v>3.6041383989145184E-3</v>
      </c>
      <c r="L11" s="268">
        <v>1</v>
      </c>
      <c r="M11" s="206">
        <v>8.0256821829855537E-4</v>
      </c>
      <c r="O11" s="8"/>
    </row>
    <row r="12" spans="1:16" ht="15" customHeight="1">
      <c r="A12" s="161"/>
      <c r="B12" s="259"/>
      <c r="C12" s="179" t="s">
        <v>228</v>
      </c>
      <c r="D12" s="267">
        <v>90</v>
      </c>
      <c r="E12" s="205">
        <v>8.2739600091932884E-4</v>
      </c>
      <c r="F12" s="267">
        <v>21</v>
      </c>
      <c r="G12" s="205">
        <v>3.6830474586972537E-4</v>
      </c>
      <c r="H12" s="267">
        <v>1</v>
      </c>
      <c r="I12" s="205">
        <v>2.9913251570445708E-4</v>
      </c>
      <c r="J12" s="267">
        <v>68</v>
      </c>
      <c r="K12" s="205">
        <v>1.4416553595658073E-3</v>
      </c>
      <c r="L12" s="267">
        <v>0</v>
      </c>
      <c r="M12" s="205">
        <v>0</v>
      </c>
      <c r="O12" s="8"/>
    </row>
    <row r="13" spans="1:16" ht="15" customHeight="1">
      <c r="A13" s="162"/>
      <c r="B13" s="260"/>
      <c r="C13" s="183" t="s">
        <v>229</v>
      </c>
      <c r="D13" s="268">
        <v>3376</v>
      </c>
      <c r="E13" s="206">
        <v>3.1036543323373939E-2</v>
      </c>
      <c r="F13" s="268">
        <v>1374</v>
      </c>
      <c r="G13" s="206">
        <v>2.4097653372619172E-2</v>
      </c>
      <c r="H13" s="268">
        <v>78</v>
      </c>
      <c r="I13" s="206">
        <v>2.3332336224947653E-2</v>
      </c>
      <c r="J13" s="268">
        <v>1900</v>
      </c>
      <c r="K13" s="206">
        <v>4.0281546811397555E-2</v>
      </c>
      <c r="L13" s="268">
        <v>24</v>
      </c>
      <c r="M13" s="206">
        <v>1.9261637239165328E-2</v>
      </c>
      <c r="O13" s="8"/>
    </row>
    <row r="14" spans="1:16" ht="15" customHeight="1">
      <c r="A14" s="161"/>
      <c r="B14" s="259" t="s">
        <v>94</v>
      </c>
      <c r="C14" s="179"/>
      <c r="D14" s="116">
        <v>3029</v>
      </c>
      <c r="E14" s="139">
        <v>2.784647207538497E-2</v>
      </c>
      <c r="F14" s="116">
        <v>1317</v>
      </c>
      <c r="G14" s="139">
        <v>2.3097969062401347E-2</v>
      </c>
      <c r="H14" s="116">
        <v>92</v>
      </c>
      <c r="I14" s="139">
        <v>2.7520191444810049E-2</v>
      </c>
      <c r="J14" s="116">
        <v>1593</v>
      </c>
      <c r="K14" s="139">
        <v>3.3772896879240163E-2</v>
      </c>
      <c r="L14" s="116">
        <v>27</v>
      </c>
      <c r="M14" s="139">
        <v>2.1669341894060994E-2</v>
      </c>
      <c r="O14" s="8"/>
    </row>
    <row r="15" spans="1:16" ht="15" customHeight="1">
      <c r="A15" s="162"/>
      <c r="B15" s="260"/>
      <c r="C15" s="183" t="s">
        <v>230</v>
      </c>
      <c r="D15" s="268">
        <v>575</v>
      </c>
      <c r="E15" s="206">
        <v>5.2861411169846011E-3</v>
      </c>
      <c r="F15" s="268">
        <v>275</v>
      </c>
      <c r="G15" s="206">
        <v>4.8230383387702132E-3</v>
      </c>
      <c r="H15" s="268">
        <v>20</v>
      </c>
      <c r="I15" s="206">
        <v>5.9826503140891418E-3</v>
      </c>
      <c r="J15" s="268">
        <v>271</v>
      </c>
      <c r="K15" s="206">
        <v>5.7454206241519673E-3</v>
      </c>
      <c r="L15" s="268">
        <v>9</v>
      </c>
      <c r="M15" s="206">
        <v>7.2231139646869984E-3</v>
      </c>
      <c r="O15" s="8"/>
    </row>
    <row r="16" spans="1:16" ht="15" customHeight="1">
      <c r="A16" s="161"/>
      <c r="B16" s="259"/>
      <c r="C16" s="179" t="s">
        <v>231</v>
      </c>
      <c r="D16" s="267">
        <v>337</v>
      </c>
      <c r="E16" s="205">
        <v>3.0981383589979315E-3</v>
      </c>
      <c r="F16" s="267">
        <v>117</v>
      </c>
      <c r="G16" s="205">
        <v>2.0519835841313269E-3</v>
      </c>
      <c r="H16" s="267">
        <v>4</v>
      </c>
      <c r="I16" s="205">
        <v>1.1965300628178283E-3</v>
      </c>
      <c r="J16" s="267">
        <v>211</v>
      </c>
      <c r="K16" s="205">
        <v>4.4733717774762547E-3</v>
      </c>
      <c r="L16" s="267">
        <v>5</v>
      </c>
      <c r="M16" s="205">
        <v>4.0128410914927765E-3</v>
      </c>
      <c r="O16" s="8"/>
    </row>
    <row r="17" spans="1:15" ht="15" customHeight="1">
      <c r="A17" s="162"/>
      <c r="B17" s="260"/>
      <c r="C17" s="183" t="s">
        <v>232</v>
      </c>
      <c r="D17" s="268">
        <v>840</v>
      </c>
      <c r="E17" s="206">
        <v>7.72236267524707E-3</v>
      </c>
      <c r="F17" s="268">
        <v>356</v>
      </c>
      <c r="G17" s="206">
        <v>6.2436423585534393E-3</v>
      </c>
      <c r="H17" s="268">
        <v>31</v>
      </c>
      <c r="I17" s="206">
        <v>9.2731079868381694E-3</v>
      </c>
      <c r="J17" s="268">
        <v>449</v>
      </c>
      <c r="K17" s="206">
        <v>9.5191655359565808E-3</v>
      </c>
      <c r="L17" s="268">
        <v>4</v>
      </c>
      <c r="M17" s="206">
        <v>3.2102728731942215E-3</v>
      </c>
      <c r="O17" s="8"/>
    </row>
    <row r="18" spans="1:15" ht="15" customHeight="1">
      <c r="A18" s="161"/>
      <c r="B18" s="259"/>
      <c r="C18" s="179" t="s">
        <v>233</v>
      </c>
      <c r="D18" s="267">
        <v>667</v>
      </c>
      <c r="E18" s="205">
        <v>6.1319236957021375E-3</v>
      </c>
      <c r="F18" s="267">
        <v>277</v>
      </c>
      <c r="G18" s="205">
        <v>4.8581149812339961E-3</v>
      </c>
      <c r="H18" s="267">
        <v>20</v>
      </c>
      <c r="I18" s="205">
        <v>5.9826503140891418E-3</v>
      </c>
      <c r="J18" s="267">
        <v>366</v>
      </c>
      <c r="K18" s="205">
        <v>7.7594979647218456E-3</v>
      </c>
      <c r="L18" s="267">
        <v>4</v>
      </c>
      <c r="M18" s="205">
        <v>3.2102728731942215E-3</v>
      </c>
      <c r="O18" s="8"/>
    </row>
    <row r="19" spans="1:15" ht="15" customHeight="1">
      <c r="A19" s="162"/>
      <c r="B19" s="260"/>
      <c r="C19" s="183" t="s">
        <v>234</v>
      </c>
      <c r="D19" s="268">
        <v>610</v>
      </c>
      <c r="E19" s="206">
        <v>5.6079062284532287E-3</v>
      </c>
      <c r="F19" s="268">
        <v>292</v>
      </c>
      <c r="G19" s="206">
        <v>5.1211897997123718E-3</v>
      </c>
      <c r="H19" s="268">
        <v>17</v>
      </c>
      <c r="I19" s="206">
        <v>5.0852527669757704E-3</v>
      </c>
      <c r="J19" s="268">
        <v>296</v>
      </c>
      <c r="K19" s="206">
        <v>6.2754409769335143E-3</v>
      </c>
      <c r="L19" s="268">
        <v>5</v>
      </c>
      <c r="M19" s="206">
        <v>4.0128410914927765E-3</v>
      </c>
      <c r="O19" s="8"/>
    </row>
    <row r="20" spans="1:15" ht="15" customHeight="1">
      <c r="A20" s="161"/>
      <c r="B20" s="259" t="s">
        <v>95</v>
      </c>
      <c r="C20" s="179"/>
      <c r="D20" s="116">
        <v>7144</v>
      </c>
      <c r="E20" s="139">
        <v>6.5676855895196506E-2</v>
      </c>
      <c r="F20" s="116">
        <v>3642</v>
      </c>
      <c r="G20" s="139">
        <v>6.3874565926549512E-2</v>
      </c>
      <c r="H20" s="116">
        <v>185</v>
      </c>
      <c r="I20" s="139">
        <v>5.5339515405324557E-2</v>
      </c>
      <c r="J20" s="116">
        <v>3214</v>
      </c>
      <c r="K20" s="139">
        <v>6.8139416553595664E-2</v>
      </c>
      <c r="L20" s="116">
        <v>103</v>
      </c>
      <c r="M20" s="139">
        <v>8.26645264847512E-2</v>
      </c>
      <c r="O20" s="8"/>
    </row>
    <row r="21" spans="1:15" ht="15" customHeight="1">
      <c r="A21" s="162"/>
      <c r="B21" s="260"/>
      <c r="C21" s="183" t="s">
        <v>235</v>
      </c>
      <c r="D21" s="268">
        <v>692</v>
      </c>
      <c r="E21" s="206">
        <v>6.3617559181797286E-3</v>
      </c>
      <c r="F21" s="268">
        <v>321</v>
      </c>
      <c r="G21" s="206">
        <v>5.6298011154372303E-3</v>
      </c>
      <c r="H21" s="268">
        <v>17</v>
      </c>
      <c r="I21" s="206">
        <v>5.0852527669757704E-3</v>
      </c>
      <c r="J21" s="268">
        <v>337</v>
      </c>
      <c r="K21" s="206">
        <v>7.1446743554952506E-3</v>
      </c>
      <c r="L21" s="268">
        <v>17</v>
      </c>
      <c r="M21" s="206">
        <v>1.3643659711075442E-2</v>
      </c>
      <c r="O21" s="8"/>
    </row>
    <row r="22" spans="1:15" ht="15" customHeight="1">
      <c r="A22" s="161"/>
      <c r="B22" s="259"/>
      <c r="C22" s="179" t="s">
        <v>236</v>
      </c>
      <c r="D22" s="267">
        <v>2543</v>
      </c>
      <c r="E22" s="205">
        <v>2.3378533670420594E-2</v>
      </c>
      <c r="F22" s="267">
        <v>1052</v>
      </c>
      <c r="G22" s="205">
        <v>1.845031393595005E-2</v>
      </c>
      <c r="H22" s="267">
        <v>60</v>
      </c>
      <c r="I22" s="205">
        <v>1.7947950942267425E-2</v>
      </c>
      <c r="J22" s="267">
        <v>1403</v>
      </c>
      <c r="K22" s="205">
        <v>2.9744742198100409E-2</v>
      </c>
      <c r="L22" s="267">
        <v>28</v>
      </c>
      <c r="M22" s="205">
        <v>2.247191011235955E-2</v>
      </c>
      <c r="O22" s="8"/>
    </row>
    <row r="23" spans="1:15" ht="15" customHeight="1">
      <c r="A23" s="162"/>
      <c r="B23" s="260"/>
      <c r="C23" s="183" t="s">
        <v>237</v>
      </c>
      <c r="D23" s="268">
        <v>2975</v>
      </c>
      <c r="E23" s="206">
        <v>2.7350034474833373E-2</v>
      </c>
      <c r="F23" s="268">
        <v>1700</v>
      </c>
      <c r="G23" s="206">
        <v>2.9815146094215862E-2</v>
      </c>
      <c r="H23" s="268">
        <v>83</v>
      </c>
      <c r="I23" s="206">
        <v>2.4827998803469937E-2</v>
      </c>
      <c r="J23" s="268">
        <v>1143</v>
      </c>
      <c r="K23" s="206">
        <v>2.4232530529172319E-2</v>
      </c>
      <c r="L23" s="268">
        <v>49</v>
      </c>
      <c r="M23" s="206">
        <v>3.9325842696629212E-2</v>
      </c>
      <c r="O23" s="8"/>
    </row>
    <row r="24" spans="1:15" ht="15" customHeight="1">
      <c r="A24" s="161"/>
      <c r="B24" s="259"/>
      <c r="C24" s="179" t="s">
        <v>238</v>
      </c>
      <c r="D24" s="267">
        <v>934</v>
      </c>
      <c r="E24" s="205">
        <v>8.5865318317628128E-3</v>
      </c>
      <c r="F24" s="267">
        <v>569</v>
      </c>
      <c r="G24" s="205">
        <v>9.9793047809463679E-3</v>
      </c>
      <c r="H24" s="267">
        <v>25</v>
      </c>
      <c r="I24" s="205">
        <v>7.4783128926114266E-3</v>
      </c>
      <c r="J24" s="267">
        <v>331</v>
      </c>
      <c r="K24" s="205">
        <v>7.0174694708276799E-3</v>
      </c>
      <c r="L24" s="267">
        <v>9</v>
      </c>
      <c r="M24" s="205">
        <v>7.2231139646869984E-3</v>
      </c>
      <c r="O24" s="8"/>
    </row>
    <row r="25" spans="1:15" ht="15" customHeight="1">
      <c r="A25" s="162"/>
      <c r="B25" s="260" t="s">
        <v>96</v>
      </c>
      <c r="C25" s="183"/>
      <c r="D25" s="114">
        <v>11171</v>
      </c>
      <c r="E25" s="137">
        <v>0.10269823029188692</v>
      </c>
      <c r="F25" s="114">
        <v>5704</v>
      </c>
      <c r="G25" s="137">
        <v>0.10003858430671016</v>
      </c>
      <c r="H25" s="114">
        <v>258</v>
      </c>
      <c r="I25" s="137">
        <v>7.717618905174993E-2</v>
      </c>
      <c r="J25" s="114">
        <v>5070</v>
      </c>
      <c r="K25" s="137">
        <v>0.1074881275440977</v>
      </c>
      <c r="L25" s="114">
        <v>139</v>
      </c>
      <c r="M25" s="137">
        <v>0.1115569823434992</v>
      </c>
      <c r="O25" s="8"/>
    </row>
    <row r="26" spans="1:15" ht="15" customHeight="1">
      <c r="A26" s="161"/>
      <c r="B26" s="259"/>
      <c r="C26" s="179" t="s">
        <v>239</v>
      </c>
      <c r="D26" s="267">
        <v>1996</v>
      </c>
      <c r="E26" s="205">
        <v>1.8349804642610892E-2</v>
      </c>
      <c r="F26" s="267">
        <v>1201</v>
      </c>
      <c r="G26" s="205">
        <v>2.1063523799501913E-2</v>
      </c>
      <c r="H26" s="267">
        <v>59</v>
      </c>
      <c r="I26" s="205">
        <v>1.7648818426562969E-2</v>
      </c>
      <c r="J26" s="267">
        <v>720</v>
      </c>
      <c r="K26" s="205">
        <v>1.5264586160108548E-2</v>
      </c>
      <c r="L26" s="267">
        <v>16</v>
      </c>
      <c r="M26" s="205">
        <v>1.2841091492776886E-2</v>
      </c>
      <c r="O26" s="8"/>
    </row>
    <row r="27" spans="1:15" ht="15" customHeight="1">
      <c r="A27" s="162"/>
      <c r="B27" s="260"/>
      <c r="C27" s="183" t="s">
        <v>240</v>
      </c>
      <c r="D27" s="268">
        <v>1612</v>
      </c>
      <c r="E27" s="206">
        <v>1.481958170535509E-2</v>
      </c>
      <c r="F27" s="268">
        <v>884</v>
      </c>
      <c r="G27" s="206">
        <v>1.5503875968992248E-2</v>
      </c>
      <c r="H27" s="268">
        <v>26</v>
      </c>
      <c r="I27" s="206">
        <v>7.7774454083158837E-3</v>
      </c>
      <c r="J27" s="268">
        <v>688</v>
      </c>
      <c r="K27" s="206">
        <v>1.4586160108548168E-2</v>
      </c>
      <c r="L27" s="268">
        <v>14</v>
      </c>
      <c r="M27" s="206">
        <v>1.1235955056179775E-2</v>
      </c>
      <c r="O27" s="8"/>
    </row>
    <row r="28" spans="1:15" ht="15" customHeight="1">
      <c r="A28" s="161"/>
      <c r="B28" s="259"/>
      <c r="C28" s="179" t="s">
        <v>241</v>
      </c>
      <c r="D28" s="267">
        <v>3011</v>
      </c>
      <c r="E28" s="205">
        <v>2.7680992875201104E-2</v>
      </c>
      <c r="F28" s="267">
        <v>1222</v>
      </c>
      <c r="G28" s="205">
        <v>2.1431828545371637E-2</v>
      </c>
      <c r="H28" s="267">
        <v>54</v>
      </c>
      <c r="I28" s="205">
        <v>1.6153155848040682E-2</v>
      </c>
      <c r="J28" s="267">
        <v>1699</v>
      </c>
      <c r="K28" s="205">
        <v>3.6020183175033922E-2</v>
      </c>
      <c r="L28" s="267">
        <v>36</v>
      </c>
      <c r="M28" s="205">
        <v>2.8892455858747994E-2</v>
      </c>
      <c r="O28" s="8"/>
    </row>
    <row r="29" spans="1:15" ht="15" customHeight="1">
      <c r="A29" s="162"/>
      <c r="B29" s="260"/>
      <c r="C29" s="183" t="s">
        <v>242</v>
      </c>
      <c r="D29" s="268">
        <v>776</v>
      </c>
      <c r="E29" s="206">
        <v>7.1339921857044358E-3</v>
      </c>
      <c r="F29" s="268">
        <v>451</v>
      </c>
      <c r="G29" s="206">
        <v>7.90978287558315E-3</v>
      </c>
      <c r="H29" s="268">
        <v>24</v>
      </c>
      <c r="I29" s="206">
        <v>7.1791803769069695E-3</v>
      </c>
      <c r="J29" s="268">
        <v>285</v>
      </c>
      <c r="K29" s="206">
        <v>6.0422320217096339E-3</v>
      </c>
      <c r="L29" s="268">
        <v>16</v>
      </c>
      <c r="M29" s="206">
        <v>1.2841091492776886E-2</v>
      </c>
      <c r="O29" s="8"/>
    </row>
    <row r="30" spans="1:15" ht="15" customHeight="1">
      <c r="A30" s="161"/>
      <c r="B30" s="259"/>
      <c r="C30" s="179" t="s">
        <v>243</v>
      </c>
      <c r="D30" s="267">
        <v>3776</v>
      </c>
      <c r="E30" s="205">
        <v>3.4713858883015397E-2</v>
      </c>
      <c r="F30" s="267">
        <v>1946</v>
      </c>
      <c r="G30" s="205">
        <v>3.4129573117261218E-2</v>
      </c>
      <c r="H30" s="267">
        <v>95</v>
      </c>
      <c r="I30" s="205">
        <v>2.8417588991923422E-2</v>
      </c>
      <c r="J30" s="267">
        <v>1678</v>
      </c>
      <c r="K30" s="205">
        <v>3.5574966078697423E-2</v>
      </c>
      <c r="L30" s="267">
        <v>57</v>
      </c>
      <c r="M30" s="205">
        <v>4.5746388443017656E-2</v>
      </c>
      <c r="O30" s="8"/>
    </row>
    <row r="31" spans="1:15" ht="15" customHeight="1">
      <c r="A31" s="162"/>
      <c r="B31" s="260" t="s">
        <v>97</v>
      </c>
      <c r="C31" s="183"/>
      <c r="D31" s="114">
        <v>5256</v>
      </c>
      <c r="E31" s="137">
        <v>4.8319926453688808E-2</v>
      </c>
      <c r="F31" s="114">
        <v>2748</v>
      </c>
      <c r="G31" s="137">
        <v>4.8195306745238344E-2</v>
      </c>
      <c r="H31" s="114">
        <v>138</v>
      </c>
      <c r="I31" s="137">
        <v>4.1280287167215074E-2</v>
      </c>
      <c r="J31" s="114">
        <v>2301</v>
      </c>
      <c r="K31" s="137">
        <v>4.878307327001357E-2</v>
      </c>
      <c r="L31" s="114">
        <v>69</v>
      </c>
      <c r="M31" s="137">
        <v>5.5377207062600318E-2</v>
      </c>
      <c r="O31" s="8"/>
    </row>
    <row r="32" spans="1:15" ht="15" customHeight="1">
      <c r="A32" s="161"/>
      <c r="B32" s="259"/>
      <c r="C32" s="179" t="s">
        <v>244</v>
      </c>
      <c r="D32" s="267">
        <v>777</v>
      </c>
      <c r="E32" s="205">
        <v>7.1431854746035394E-3</v>
      </c>
      <c r="F32" s="267">
        <v>367</v>
      </c>
      <c r="G32" s="205">
        <v>6.4365638921042474E-3</v>
      </c>
      <c r="H32" s="267">
        <v>17</v>
      </c>
      <c r="I32" s="205">
        <v>5.0852527669757704E-3</v>
      </c>
      <c r="J32" s="267">
        <v>384</v>
      </c>
      <c r="K32" s="205">
        <v>8.1411126187245584E-3</v>
      </c>
      <c r="L32" s="267">
        <v>9</v>
      </c>
      <c r="M32" s="205">
        <v>7.2231139646869984E-3</v>
      </c>
      <c r="O32" s="8"/>
    </row>
    <row r="33" spans="1:15" ht="15" customHeight="1">
      <c r="A33" s="162"/>
      <c r="B33" s="260"/>
      <c r="C33" s="183" t="s">
        <v>245</v>
      </c>
      <c r="D33" s="268">
        <v>1117</v>
      </c>
      <c r="E33" s="206">
        <v>1.0268903700298782E-2</v>
      </c>
      <c r="F33" s="268">
        <v>555</v>
      </c>
      <c r="G33" s="206">
        <v>9.733768283699885E-3</v>
      </c>
      <c r="H33" s="268">
        <v>30</v>
      </c>
      <c r="I33" s="206">
        <v>8.9739754711337123E-3</v>
      </c>
      <c r="J33" s="268">
        <v>509</v>
      </c>
      <c r="K33" s="206">
        <v>1.0791214382632293E-2</v>
      </c>
      <c r="L33" s="268">
        <v>23</v>
      </c>
      <c r="M33" s="206">
        <v>1.8459069020866775E-2</v>
      </c>
      <c r="O33" s="8"/>
    </row>
    <row r="34" spans="1:15" ht="15" customHeight="1">
      <c r="A34" s="161"/>
      <c r="B34" s="259"/>
      <c r="C34" s="179" t="s">
        <v>246</v>
      </c>
      <c r="D34" s="267">
        <v>3362</v>
      </c>
      <c r="E34" s="205">
        <v>3.0907837278786487E-2</v>
      </c>
      <c r="F34" s="267">
        <v>1826</v>
      </c>
      <c r="G34" s="205">
        <v>3.2024974569434213E-2</v>
      </c>
      <c r="H34" s="267">
        <v>91</v>
      </c>
      <c r="I34" s="205">
        <v>2.7221058929105594E-2</v>
      </c>
      <c r="J34" s="267">
        <v>1408</v>
      </c>
      <c r="K34" s="205">
        <v>2.9850746268656716E-2</v>
      </c>
      <c r="L34" s="267">
        <v>37</v>
      </c>
      <c r="M34" s="205">
        <v>2.969502407704655E-2</v>
      </c>
      <c r="O34" s="8"/>
    </row>
    <row r="35" spans="1:15" ht="15" customHeight="1">
      <c r="A35" s="162"/>
      <c r="B35" s="260" t="s">
        <v>98</v>
      </c>
      <c r="C35" s="183"/>
      <c r="D35" s="114">
        <v>3091</v>
      </c>
      <c r="E35" s="137">
        <v>2.8416455987129396E-2</v>
      </c>
      <c r="F35" s="114">
        <v>1716</v>
      </c>
      <c r="G35" s="137">
        <v>3.0095759233926128E-2</v>
      </c>
      <c r="H35" s="114">
        <v>101</v>
      </c>
      <c r="I35" s="137">
        <v>3.0212384086150165E-2</v>
      </c>
      <c r="J35" s="114">
        <v>1213</v>
      </c>
      <c r="K35" s="137">
        <v>2.571658751696065E-2</v>
      </c>
      <c r="L35" s="114">
        <v>61</v>
      </c>
      <c r="M35" s="137">
        <v>4.8956661316211875E-2</v>
      </c>
      <c r="O35" s="8"/>
    </row>
    <row r="36" spans="1:15" ht="15" customHeight="1">
      <c r="A36" s="161"/>
      <c r="B36" s="259"/>
      <c r="C36" s="179" t="s">
        <v>247</v>
      </c>
      <c r="D36" s="267">
        <v>2194</v>
      </c>
      <c r="E36" s="205">
        <v>2.0170075844633418E-2</v>
      </c>
      <c r="F36" s="267">
        <v>1207</v>
      </c>
      <c r="G36" s="205">
        <v>2.1168753726893263E-2</v>
      </c>
      <c r="H36" s="267">
        <v>74</v>
      </c>
      <c r="I36" s="205">
        <v>2.2135806162129824E-2</v>
      </c>
      <c r="J36" s="267">
        <v>874</v>
      </c>
      <c r="K36" s="205">
        <v>1.8529511533242875E-2</v>
      </c>
      <c r="L36" s="267">
        <v>39</v>
      </c>
      <c r="M36" s="205">
        <v>3.1300160513643663E-2</v>
      </c>
      <c r="O36" s="8"/>
    </row>
    <row r="37" spans="1:15" ht="15" customHeight="1">
      <c r="A37" s="162"/>
      <c r="B37" s="260"/>
      <c r="C37" s="183" t="s">
        <v>248</v>
      </c>
      <c r="D37" s="268">
        <v>292</v>
      </c>
      <c r="E37" s="206">
        <v>2.684440358538267E-3</v>
      </c>
      <c r="F37" s="268">
        <v>162</v>
      </c>
      <c r="G37" s="206">
        <v>2.8412080395664526E-3</v>
      </c>
      <c r="H37" s="268">
        <v>9</v>
      </c>
      <c r="I37" s="206">
        <v>2.6921926413401138E-3</v>
      </c>
      <c r="J37" s="268">
        <v>108</v>
      </c>
      <c r="K37" s="206">
        <v>2.2896879240162822E-3</v>
      </c>
      <c r="L37" s="268">
        <v>13</v>
      </c>
      <c r="M37" s="206">
        <v>1.043338683788122E-2</v>
      </c>
      <c r="O37" s="8"/>
    </row>
    <row r="38" spans="1:15" ht="15" customHeight="1">
      <c r="A38" s="161"/>
      <c r="B38" s="259"/>
      <c r="C38" s="179" t="s">
        <v>249</v>
      </c>
      <c r="D38" s="267">
        <v>355</v>
      </c>
      <c r="E38" s="205">
        <v>3.2636175591817971E-3</v>
      </c>
      <c r="F38" s="267">
        <v>204</v>
      </c>
      <c r="G38" s="205">
        <v>3.5778175313059034E-3</v>
      </c>
      <c r="H38" s="267">
        <v>8</v>
      </c>
      <c r="I38" s="205">
        <v>2.3930601256356566E-3</v>
      </c>
      <c r="J38" s="267">
        <v>140</v>
      </c>
      <c r="K38" s="205">
        <v>2.9681139755766621E-3</v>
      </c>
      <c r="L38" s="267">
        <v>3</v>
      </c>
      <c r="M38" s="205">
        <v>2.407704654895666E-3</v>
      </c>
      <c r="O38" s="8"/>
    </row>
    <row r="39" spans="1:15" ht="15" customHeight="1">
      <c r="A39" s="162"/>
      <c r="B39" s="260"/>
      <c r="C39" s="183" t="s">
        <v>250</v>
      </c>
      <c r="D39" s="268">
        <v>250</v>
      </c>
      <c r="E39" s="206">
        <v>2.2983222247759134E-3</v>
      </c>
      <c r="F39" s="268">
        <v>143</v>
      </c>
      <c r="G39" s="206">
        <v>2.5079799361605107E-3</v>
      </c>
      <c r="H39" s="268">
        <v>10</v>
      </c>
      <c r="I39" s="206">
        <v>2.9913251570445709E-3</v>
      </c>
      <c r="J39" s="268">
        <v>91</v>
      </c>
      <c r="K39" s="206">
        <v>1.9292740841248303E-3</v>
      </c>
      <c r="L39" s="268">
        <v>6</v>
      </c>
      <c r="M39" s="206">
        <v>4.815409309791332E-3</v>
      </c>
      <c r="O39" s="8"/>
    </row>
    <row r="40" spans="1:15" ht="15" customHeight="1">
      <c r="A40" s="161"/>
      <c r="B40" s="259" t="s">
        <v>99</v>
      </c>
      <c r="C40" s="179"/>
      <c r="D40" s="116">
        <v>10073</v>
      </c>
      <c r="E40" s="139">
        <v>9.2603999080671115E-2</v>
      </c>
      <c r="F40" s="116">
        <v>5733</v>
      </c>
      <c r="G40" s="139">
        <v>0.10054719562243503</v>
      </c>
      <c r="H40" s="116">
        <v>278</v>
      </c>
      <c r="I40" s="139">
        <v>8.3158839365839066E-2</v>
      </c>
      <c r="J40" s="116">
        <v>3936</v>
      </c>
      <c r="K40" s="139">
        <v>8.3446404341926725E-2</v>
      </c>
      <c r="L40" s="116">
        <v>126</v>
      </c>
      <c r="M40" s="139">
        <v>0.10112359550561797</v>
      </c>
      <c r="O40" s="8"/>
    </row>
    <row r="41" spans="1:15" ht="15" customHeight="1">
      <c r="A41" s="162"/>
      <c r="B41" s="260"/>
      <c r="C41" s="183" t="s">
        <v>251</v>
      </c>
      <c r="D41" s="268">
        <v>2563</v>
      </c>
      <c r="E41" s="206">
        <v>2.3562399448402667E-2</v>
      </c>
      <c r="F41" s="268">
        <v>1501</v>
      </c>
      <c r="G41" s="206">
        <v>2.6325020169069416E-2</v>
      </c>
      <c r="H41" s="268">
        <v>71</v>
      </c>
      <c r="I41" s="206">
        <v>2.1238408615016451E-2</v>
      </c>
      <c r="J41" s="268">
        <v>955</v>
      </c>
      <c r="K41" s="206">
        <v>2.0246777476255088E-2</v>
      </c>
      <c r="L41" s="268">
        <v>36</v>
      </c>
      <c r="M41" s="206">
        <v>2.8892455858747994E-2</v>
      </c>
      <c r="O41" s="8"/>
    </row>
    <row r="42" spans="1:15" ht="15" customHeight="1">
      <c r="A42" s="161"/>
      <c r="B42" s="259"/>
      <c r="C42" s="179" t="s">
        <v>252</v>
      </c>
      <c r="D42" s="267">
        <v>1962</v>
      </c>
      <c r="E42" s="205">
        <v>1.8037232820041368E-2</v>
      </c>
      <c r="F42" s="267">
        <v>1041</v>
      </c>
      <c r="G42" s="205">
        <v>1.8257392402399243E-2</v>
      </c>
      <c r="H42" s="267">
        <v>52</v>
      </c>
      <c r="I42" s="205">
        <v>1.5554890816631767E-2</v>
      </c>
      <c r="J42" s="267">
        <v>836</v>
      </c>
      <c r="K42" s="205">
        <v>1.7723880597014924E-2</v>
      </c>
      <c r="L42" s="267">
        <v>33</v>
      </c>
      <c r="M42" s="205">
        <v>2.6484751203852328E-2</v>
      </c>
      <c r="O42" s="8"/>
    </row>
    <row r="43" spans="1:15" ht="15" customHeight="1">
      <c r="A43" s="162"/>
      <c r="B43" s="260"/>
      <c r="C43" s="183" t="s">
        <v>253</v>
      </c>
      <c r="D43" s="268">
        <v>1382</v>
      </c>
      <c r="E43" s="206">
        <v>1.270512525856125E-2</v>
      </c>
      <c r="F43" s="268">
        <v>740</v>
      </c>
      <c r="G43" s="206">
        <v>1.2978357711599846E-2</v>
      </c>
      <c r="H43" s="268">
        <v>34</v>
      </c>
      <c r="I43" s="206">
        <v>1.0170505533951541E-2</v>
      </c>
      <c r="J43" s="268">
        <v>591</v>
      </c>
      <c r="K43" s="206">
        <v>1.2529681139755767E-2</v>
      </c>
      <c r="L43" s="268">
        <v>17</v>
      </c>
      <c r="M43" s="206">
        <v>1.3643659711075442E-2</v>
      </c>
      <c r="O43" s="8"/>
    </row>
    <row r="44" spans="1:15" ht="15" customHeight="1">
      <c r="A44" s="161"/>
      <c r="B44" s="259"/>
      <c r="C44" s="179" t="s">
        <v>254</v>
      </c>
      <c r="D44" s="267">
        <v>1206</v>
      </c>
      <c r="E44" s="205">
        <v>1.1087106412319006E-2</v>
      </c>
      <c r="F44" s="267">
        <v>687</v>
      </c>
      <c r="G44" s="205">
        <v>1.2048826686309586E-2</v>
      </c>
      <c r="H44" s="267">
        <v>34</v>
      </c>
      <c r="I44" s="205">
        <v>1.0170505533951541E-2</v>
      </c>
      <c r="J44" s="267">
        <v>468</v>
      </c>
      <c r="K44" s="205">
        <v>9.9219810040705562E-3</v>
      </c>
      <c r="L44" s="267">
        <v>17</v>
      </c>
      <c r="M44" s="205">
        <v>1.3643659711075442E-2</v>
      </c>
      <c r="O44" s="8"/>
    </row>
    <row r="45" spans="1:15" ht="15" customHeight="1">
      <c r="A45" s="162"/>
      <c r="B45" s="260"/>
      <c r="C45" s="183" t="s">
        <v>255</v>
      </c>
      <c r="D45" s="268">
        <v>2960</v>
      </c>
      <c r="E45" s="206">
        <v>2.7212135141346818E-2</v>
      </c>
      <c r="F45" s="268">
        <v>1764</v>
      </c>
      <c r="G45" s="206">
        <v>3.0937598653056928E-2</v>
      </c>
      <c r="H45" s="268">
        <v>87</v>
      </c>
      <c r="I45" s="206">
        <v>2.6024528866287765E-2</v>
      </c>
      <c r="J45" s="268">
        <v>1086</v>
      </c>
      <c r="K45" s="206">
        <v>2.3024084124830393E-2</v>
      </c>
      <c r="L45" s="268">
        <v>23</v>
      </c>
      <c r="M45" s="206">
        <v>1.8459069020866775E-2</v>
      </c>
      <c r="O45" s="8"/>
    </row>
    <row r="46" spans="1:15" ht="15" customHeight="1">
      <c r="A46" s="161"/>
      <c r="B46" s="259" t="s">
        <v>100</v>
      </c>
      <c r="C46" s="179"/>
      <c r="D46" s="116">
        <v>19904</v>
      </c>
      <c r="E46" s="139">
        <v>0.18298322224775915</v>
      </c>
      <c r="F46" s="116">
        <v>12884</v>
      </c>
      <c r="G46" s="139">
        <v>0.22596373075169246</v>
      </c>
      <c r="H46" s="116">
        <v>683</v>
      </c>
      <c r="I46" s="139">
        <v>0.20430750822614419</v>
      </c>
      <c r="J46" s="116">
        <v>6002</v>
      </c>
      <c r="K46" s="139">
        <v>0.12724728629579377</v>
      </c>
      <c r="L46" s="116">
        <v>335</v>
      </c>
      <c r="M46" s="139">
        <v>0.26886035313001605</v>
      </c>
      <c r="O46" s="8"/>
    </row>
    <row r="47" spans="1:15" ht="15" customHeight="1">
      <c r="A47" s="162"/>
      <c r="B47" s="260"/>
      <c r="C47" s="183" t="s">
        <v>256</v>
      </c>
      <c r="D47" s="268">
        <v>13299</v>
      </c>
      <c r="E47" s="206">
        <v>0.12226154906917949</v>
      </c>
      <c r="F47" s="268">
        <v>8886</v>
      </c>
      <c r="G47" s="206">
        <v>0.1558455224665895</v>
      </c>
      <c r="H47" s="268">
        <v>428</v>
      </c>
      <c r="I47" s="206">
        <v>0.12802871672150762</v>
      </c>
      <c r="J47" s="268">
        <v>3732</v>
      </c>
      <c r="K47" s="206">
        <v>7.9121438263229302E-2</v>
      </c>
      <c r="L47" s="268">
        <v>253</v>
      </c>
      <c r="M47" s="206">
        <v>0.2030497592295345</v>
      </c>
      <c r="O47" s="8"/>
    </row>
    <row r="48" spans="1:15" ht="15" customHeight="1">
      <c r="A48" s="161"/>
      <c r="B48" s="259"/>
      <c r="C48" s="179" t="s">
        <v>257</v>
      </c>
      <c r="D48" s="267">
        <v>2730</v>
      </c>
      <c r="E48" s="205">
        <v>2.5097678694552976E-2</v>
      </c>
      <c r="F48" s="267">
        <v>1574</v>
      </c>
      <c r="G48" s="205">
        <v>2.760531761899751E-2</v>
      </c>
      <c r="H48" s="267">
        <v>96</v>
      </c>
      <c r="I48" s="205">
        <v>2.8716721507627878E-2</v>
      </c>
      <c r="J48" s="267">
        <v>1028</v>
      </c>
      <c r="K48" s="205">
        <v>2.1794436906377206E-2</v>
      </c>
      <c r="L48" s="267">
        <v>32</v>
      </c>
      <c r="M48" s="205">
        <v>2.5682182985553772E-2</v>
      </c>
      <c r="O48" s="8"/>
    </row>
    <row r="49" spans="1:16" ht="15" customHeight="1">
      <c r="A49" s="162"/>
      <c r="B49" s="260"/>
      <c r="C49" s="183" t="s">
        <v>258</v>
      </c>
      <c r="D49" s="268">
        <v>3875</v>
      </c>
      <c r="E49" s="206">
        <v>3.5623994484026658E-2</v>
      </c>
      <c r="F49" s="268">
        <v>2424</v>
      </c>
      <c r="G49" s="206">
        <v>4.2512890666105439E-2</v>
      </c>
      <c r="H49" s="268">
        <v>159</v>
      </c>
      <c r="I49" s="206">
        <v>4.7562069997008675E-2</v>
      </c>
      <c r="J49" s="268">
        <v>1242</v>
      </c>
      <c r="K49" s="206">
        <v>2.6331411126187247E-2</v>
      </c>
      <c r="L49" s="268">
        <v>50</v>
      </c>
      <c r="M49" s="206">
        <v>4.0128410914927769E-2</v>
      </c>
      <c r="O49" s="8"/>
    </row>
    <row r="50" spans="1:16" ht="15" customHeight="1">
      <c r="A50" s="161"/>
      <c r="B50" s="259" t="s">
        <v>259</v>
      </c>
      <c r="C50" s="179"/>
      <c r="D50" s="116">
        <v>248</v>
      </c>
      <c r="E50" s="139">
        <v>2.2799356469777061E-3</v>
      </c>
      <c r="F50" s="116">
        <v>80</v>
      </c>
      <c r="G50" s="139">
        <v>1.4030656985513346E-3</v>
      </c>
      <c r="H50" s="116">
        <v>2</v>
      </c>
      <c r="I50" s="139">
        <v>5.9826503140891416E-4</v>
      </c>
      <c r="J50" s="116">
        <v>166</v>
      </c>
      <c r="K50" s="139">
        <v>3.5193351424694709E-3</v>
      </c>
      <c r="L50" s="116">
        <v>0</v>
      </c>
      <c r="M50" s="139">
        <v>0</v>
      </c>
      <c r="O50" s="8"/>
    </row>
    <row r="51" spans="1:16" ht="15" customHeight="1">
      <c r="A51" s="162"/>
      <c r="B51" s="260" t="s">
        <v>260</v>
      </c>
      <c r="C51" s="183"/>
      <c r="D51" s="114">
        <v>3980</v>
      </c>
      <c r="E51" s="137">
        <v>3.6589289818432541E-2</v>
      </c>
      <c r="F51" s="114">
        <v>1545</v>
      </c>
      <c r="G51" s="137">
        <v>2.7096706303272652E-2</v>
      </c>
      <c r="H51" s="114">
        <v>103</v>
      </c>
      <c r="I51" s="137">
        <v>3.081064911755908E-2</v>
      </c>
      <c r="J51" s="114">
        <v>2304</v>
      </c>
      <c r="K51" s="137">
        <v>4.8846675712347354E-2</v>
      </c>
      <c r="L51" s="114">
        <v>28</v>
      </c>
      <c r="M51" s="137">
        <v>2.247191011235955E-2</v>
      </c>
      <c r="O51" s="8"/>
    </row>
    <row r="52" spans="1:16" ht="15" customHeight="1">
      <c r="A52" s="161"/>
      <c r="B52" s="259" t="s">
        <v>261</v>
      </c>
      <c r="C52" s="179"/>
      <c r="D52" s="116">
        <v>4230</v>
      </c>
      <c r="E52" s="139">
        <v>3.888761204320846E-2</v>
      </c>
      <c r="F52" s="116">
        <v>1697</v>
      </c>
      <c r="G52" s="139">
        <v>2.9762531130520187E-2</v>
      </c>
      <c r="H52" s="116">
        <v>201</v>
      </c>
      <c r="I52" s="139">
        <v>6.0125635656595872E-2</v>
      </c>
      <c r="J52" s="116">
        <v>2219</v>
      </c>
      <c r="K52" s="139">
        <v>4.7044606512890094E-2</v>
      </c>
      <c r="L52" s="116">
        <v>113</v>
      </c>
      <c r="M52" s="139">
        <v>9.0690208667736763E-2</v>
      </c>
      <c r="O52" s="8"/>
    </row>
    <row r="53" spans="1:16" ht="15" customHeight="1">
      <c r="A53" s="162"/>
      <c r="B53" s="260" t="s">
        <v>105</v>
      </c>
      <c r="C53" s="183"/>
      <c r="D53" s="114">
        <v>5680</v>
      </c>
      <c r="E53" s="137">
        <v>5.2217880946908754E-2</v>
      </c>
      <c r="F53" s="114">
        <v>3469</v>
      </c>
      <c r="G53" s="137">
        <v>6.0840436353432246E-2</v>
      </c>
      <c r="H53" s="114">
        <v>203</v>
      </c>
      <c r="I53" s="137">
        <v>6.0723900688004789E-2</v>
      </c>
      <c r="J53" s="114">
        <v>1982</v>
      </c>
      <c r="K53" s="137">
        <v>4.2020013568521031E-2</v>
      </c>
      <c r="L53" s="114">
        <v>26</v>
      </c>
      <c r="M53" s="137">
        <v>2.0866773675762441E-2</v>
      </c>
      <c r="O53" s="8"/>
    </row>
    <row r="54" spans="1:16" ht="15" customHeight="1">
      <c r="A54" s="161"/>
      <c r="B54" s="259" t="s">
        <v>53</v>
      </c>
      <c r="C54" s="172"/>
      <c r="D54" s="116">
        <v>3605</v>
      </c>
      <c r="E54" s="139">
        <v>3.3141806481268674E-2</v>
      </c>
      <c r="F54" s="116">
        <v>1746</v>
      </c>
      <c r="G54" s="139">
        <v>3.0621908870882879E-2</v>
      </c>
      <c r="H54" s="116">
        <v>92</v>
      </c>
      <c r="I54" s="139">
        <v>2.7520191444810049E-2</v>
      </c>
      <c r="J54" s="116">
        <v>1758</v>
      </c>
      <c r="K54" s="139">
        <v>3.7271031207598372E-2</v>
      </c>
      <c r="L54" s="116">
        <v>9</v>
      </c>
      <c r="M54" s="139">
        <v>7.2231139646869984E-3</v>
      </c>
      <c r="O54" s="8"/>
    </row>
    <row r="55" spans="1:16" ht="15" customHeight="1">
      <c r="A55" s="162"/>
      <c r="B55" s="260" t="s">
        <v>50</v>
      </c>
      <c r="C55" s="169"/>
      <c r="D55" s="114">
        <v>3661</v>
      </c>
      <c r="E55" s="137">
        <v>3.3656630659618478E-2</v>
      </c>
      <c r="F55" s="114">
        <v>2006</v>
      </c>
      <c r="G55" s="137">
        <v>3.5181872391174714E-2</v>
      </c>
      <c r="H55" s="114">
        <v>67</v>
      </c>
      <c r="I55" s="137">
        <v>2.0041878552198623E-2</v>
      </c>
      <c r="J55" s="114">
        <v>1573</v>
      </c>
      <c r="K55" s="137">
        <v>3.3348880597014928E-2</v>
      </c>
      <c r="L55" s="114">
        <v>15</v>
      </c>
      <c r="M55" s="137">
        <v>1.2038523274478331E-2</v>
      </c>
      <c r="O55" s="8"/>
    </row>
    <row r="56" spans="1:16" ht="15" customHeight="1">
      <c r="A56" s="163" t="s">
        <v>55</v>
      </c>
      <c r="B56" s="273"/>
      <c r="C56" s="274"/>
      <c r="D56" s="129">
        <v>10744</v>
      </c>
      <c r="E56" s="141">
        <v>9.8772695931969662E-2</v>
      </c>
      <c r="F56" s="129">
        <v>5058</v>
      </c>
      <c r="G56" s="141">
        <v>8.8708828790908134E-2</v>
      </c>
      <c r="H56" s="129">
        <v>557</v>
      </c>
      <c r="I56" s="141">
        <v>0.16661681124738259</v>
      </c>
      <c r="J56" s="129">
        <v>5058</v>
      </c>
      <c r="K56" s="141">
        <v>0.10723371777476255</v>
      </c>
      <c r="L56" s="129">
        <v>71</v>
      </c>
      <c r="M56" s="141">
        <v>5.6982343499197431E-2</v>
      </c>
      <c r="O56" s="8"/>
    </row>
    <row r="57" spans="1:16">
      <c r="A57" s="44"/>
      <c r="B57" s="44"/>
      <c r="C57" s="44"/>
      <c r="D57" s="44"/>
      <c r="E57" s="55"/>
      <c r="F57" s="44"/>
      <c r="G57" s="44"/>
      <c r="H57" s="44"/>
      <c r="I57" s="44"/>
      <c r="J57" s="44"/>
      <c r="K57" s="44"/>
      <c r="L57" s="44"/>
      <c r="M57" s="44"/>
      <c r="N57" s="44"/>
      <c r="O57" s="40"/>
      <c r="P57" s="44"/>
    </row>
    <row r="58" spans="1:16">
      <c r="A58" s="70" t="s">
        <v>129</v>
      </c>
      <c r="B58" s="70" t="s">
        <v>142</v>
      </c>
      <c r="C58" s="70"/>
      <c r="D58" s="70"/>
      <c r="E58" s="70"/>
      <c r="F58" s="70"/>
      <c r="G58" s="70"/>
      <c r="H58" s="70"/>
      <c r="I58" s="44"/>
      <c r="J58" s="44"/>
      <c r="K58" s="44"/>
      <c r="L58" s="44"/>
      <c r="M58" s="44"/>
      <c r="N58" s="44"/>
      <c r="O58" s="40"/>
      <c r="P58" s="44"/>
    </row>
    <row r="59" spans="1:16">
      <c r="A59" s="70"/>
      <c r="B59" s="70" t="s">
        <v>66</v>
      </c>
      <c r="C59" s="70"/>
      <c r="D59" s="70"/>
      <c r="E59" s="70"/>
      <c r="F59" s="70"/>
      <c r="G59" s="70"/>
      <c r="H59" s="70"/>
      <c r="I59" s="44"/>
      <c r="J59" s="44"/>
      <c r="K59" s="44"/>
      <c r="L59" s="44"/>
      <c r="M59" s="44"/>
      <c r="N59" s="44"/>
      <c r="O59" s="40"/>
      <c r="P59" s="44"/>
    </row>
    <row r="60" spans="1:16">
      <c r="A60" s="70"/>
      <c r="B60" s="70" t="s">
        <v>67</v>
      </c>
      <c r="C60" s="70"/>
      <c r="D60" s="70"/>
      <c r="E60" s="70"/>
      <c r="F60" s="70"/>
      <c r="G60" s="70"/>
      <c r="H60" s="70"/>
      <c r="I60" s="44"/>
      <c r="J60" s="44"/>
      <c r="K60" s="44"/>
      <c r="L60" s="44"/>
      <c r="M60" s="44"/>
      <c r="N60" s="44"/>
      <c r="O60" s="40"/>
      <c r="P60" s="44"/>
    </row>
    <row r="61" spans="1:16">
      <c r="A61" s="70"/>
      <c r="B61" s="70" t="s">
        <v>74</v>
      </c>
      <c r="C61" s="70"/>
      <c r="D61" s="70"/>
      <c r="E61" s="70"/>
      <c r="F61" s="70"/>
      <c r="G61" s="70"/>
      <c r="H61" s="70"/>
      <c r="I61" s="44"/>
      <c r="J61" s="44"/>
      <c r="K61" s="44"/>
      <c r="L61" s="44"/>
      <c r="M61" s="44"/>
      <c r="N61" s="44"/>
      <c r="O61" s="40"/>
      <c r="P61" s="44"/>
    </row>
    <row r="62" spans="1:16">
      <c r="A62" s="70"/>
      <c r="B62" s="70" t="s">
        <v>68</v>
      </c>
      <c r="C62" s="70"/>
      <c r="D62" s="70"/>
      <c r="E62" s="70"/>
      <c r="F62" s="70"/>
      <c r="G62" s="70"/>
      <c r="H62" s="70"/>
      <c r="I62" s="44"/>
      <c r="J62" s="44"/>
      <c r="K62" s="44"/>
      <c r="L62" s="44"/>
      <c r="M62" s="44"/>
      <c r="N62" s="44"/>
      <c r="O62" s="40"/>
      <c r="P62" s="44"/>
    </row>
    <row r="63" spans="1:16">
      <c r="A63" s="70"/>
      <c r="B63" s="70" t="s">
        <v>69</v>
      </c>
      <c r="C63" s="70"/>
      <c r="D63" s="70"/>
      <c r="E63" s="70"/>
      <c r="F63" s="70"/>
      <c r="G63" s="70"/>
      <c r="H63" s="70"/>
      <c r="I63" s="44"/>
      <c r="J63" s="44"/>
      <c r="K63" s="44"/>
      <c r="L63" s="44"/>
      <c r="M63" s="44"/>
      <c r="N63" s="44"/>
      <c r="O63" s="40"/>
      <c r="P63" s="44"/>
    </row>
    <row r="64" spans="1:16">
      <c r="A64" s="70"/>
      <c r="B64" s="70" t="s">
        <v>70</v>
      </c>
      <c r="C64" s="70"/>
      <c r="D64" s="70"/>
      <c r="E64" s="70"/>
      <c r="F64" s="70"/>
      <c r="G64" s="70"/>
      <c r="H64" s="70"/>
      <c r="I64" s="44"/>
      <c r="J64" s="44"/>
      <c r="K64" s="44"/>
      <c r="L64" s="44"/>
      <c r="M64" s="44"/>
      <c r="N64" s="44"/>
      <c r="O64" s="40"/>
      <c r="P64" s="44"/>
    </row>
    <row r="65" spans="1:16">
      <c r="A65" s="70"/>
      <c r="B65" s="70" t="s">
        <v>71</v>
      </c>
      <c r="C65" s="70"/>
      <c r="D65" s="70"/>
      <c r="E65" s="70"/>
      <c r="F65" s="70"/>
      <c r="G65" s="70"/>
      <c r="H65" s="70"/>
      <c r="I65" s="44"/>
      <c r="J65" s="44"/>
      <c r="K65" s="44"/>
      <c r="L65" s="44"/>
      <c r="M65" s="44"/>
      <c r="N65" s="44"/>
      <c r="O65" s="40"/>
      <c r="P65" s="44"/>
    </row>
    <row r="66" spans="1:16">
      <c r="A66" s="70"/>
      <c r="B66" s="70" t="s">
        <v>72</v>
      </c>
      <c r="C66" s="70"/>
      <c r="D66" s="70"/>
      <c r="E66" s="70"/>
      <c r="F66" s="70"/>
      <c r="G66" s="70"/>
      <c r="H66" s="70"/>
      <c r="I66" s="44"/>
      <c r="J66" s="44"/>
      <c r="K66" s="44"/>
      <c r="L66" s="44"/>
      <c r="M66" s="44"/>
      <c r="N66" s="44"/>
      <c r="O66" s="40"/>
      <c r="P66" s="44"/>
    </row>
    <row r="67" spans="1:16">
      <c r="A67" s="70"/>
      <c r="B67" s="70"/>
      <c r="C67" s="70"/>
      <c r="D67" s="70"/>
      <c r="E67" s="77"/>
      <c r="F67" s="70"/>
      <c r="G67" s="70"/>
      <c r="H67" s="70"/>
      <c r="I67" s="44"/>
      <c r="J67" s="44"/>
      <c r="K67" s="44"/>
      <c r="L67" s="44"/>
      <c r="M67" s="44"/>
      <c r="N67" s="44"/>
      <c r="O67" s="40"/>
      <c r="P67" s="44"/>
    </row>
    <row r="68" spans="1:16">
      <c r="A68" s="44"/>
      <c r="B68" s="44"/>
      <c r="C68" s="44"/>
      <c r="D68" s="44"/>
      <c r="E68" s="55"/>
      <c r="F68" s="44"/>
      <c r="G68" s="44"/>
      <c r="H68" s="44"/>
      <c r="I68" s="44"/>
      <c r="J68" s="44"/>
      <c r="K68" s="44"/>
      <c r="L68" s="44"/>
      <c r="M68" s="44"/>
      <c r="O68" s="8"/>
    </row>
    <row r="69" spans="1:16">
      <c r="A69" s="44"/>
      <c r="B69" s="44"/>
      <c r="C69" s="44"/>
      <c r="D69" s="44"/>
      <c r="E69" s="55"/>
      <c r="F69" s="44"/>
      <c r="G69" s="44"/>
      <c r="H69" s="44"/>
      <c r="I69" s="44"/>
      <c r="J69" s="44"/>
      <c r="K69" s="44"/>
      <c r="L69" s="44"/>
      <c r="M69" s="44"/>
      <c r="O69" s="8"/>
    </row>
    <row r="70" spans="1:16">
      <c r="A70" s="44"/>
      <c r="B70" s="44"/>
      <c r="C70" s="44"/>
      <c r="D70" s="44"/>
      <c r="E70" s="55"/>
      <c r="F70" s="44"/>
      <c r="G70" s="44"/>
      <c r="H70" s="44"/>
      <c r="I70" s="44"/>
      <c r="J70" s="44"/>
      <c r="K70" s="44"/>
      <c r="L70" s="44"/>
      <c r="M70" s="44"/>
      <c r="O70" s="8"/>
    </row>
    <row r="71" spans="1:16">
      <c r="A71" s="44"/>
      <c r="B71" s="44"/>
      <c r="C71" s="44"/>
      <c r="D71" s="44"/>
      <c r="E71" s="55"/>
      <c r="F71" s="44"/>
      <c r="G71" s="44"/>
      <c r="H71" s="44"/>
      <c r="I71" s="44"/>
      <c r="J71" s="44"/>
      <c r="K71" s="44"/>
      <c r="L71" s="44"/>
      <c r="M71" s="44"/>
      <c r="O71" s="8"/>
    </row>
    <row r="72" spans="1:16">
      <c r="A72" s="44"/>
      <c r="B72" s="44"/>
      <c r="C72" s="44"/>
      <c r="D72" s="44"/>
      <c r="E72" s="55"/>
      <c r="F72" s="44"/>
      <c r="G72" s="44"/>
      <c r="H72" s="44"/>
      <c r="I72" s="44"/>
      <c r="J72" s="44"/>
      <c r="K72" s="44"/>
      <c r="L72" s="44"/>
      <c r="M72" s="44"/>
      <c r="O72" s="8"/>
    </row>
    <row r="73" spans="1:16">
      <c r="A73" s="44"/>
      <c r="B73" s="44"/>
      <c r="C73" s="44"/>
      <c r="D73" s="44"/>
      <c r="E73" s="55"/>
      <c r="F73" s="44"/>
      <c r="G73" s="44"/>
      <c r="H73" s="44"/>
      <c r="I73" s="44"/>
      <c r="J73" s="44"/>
      <c r="K73" s="44"/>
      <c r="L73" s="44"/>
      <c r="M73" s="44"/>
      <c r="O73" s="8"/>
    </row>
    <row r="74" spans="1:16">
      <c r="A74" s="44"/>
      <c r="B74" s="44"/>
      <c r="C74" s="44"/>
      <c r="D74" s="44"/>
      <c r="E74" s="55"/>
      <c r="F74" s="44"/>
      <c r="G74" s="44"/>
      <c r="H74" s="44"/>
      <c r="I74" s="44"/>
      <c r="J74" s="44"/>
      <c r="K74" s="44"/>
      <c r="L74" s="44"/>
      <c r="M74" s="44"/>
      <c r="O74" s="8"/>
    </row>
    <row r="75" spans="1:16">
      <c r="A75" s="44"/>
      <c r="B75" s="44"/>
      <c r="C75" s="44"/>
      <c r="D75" s="44"/>
      <c r="E75" s="55"/>
      <c r="F75" s="44"/>
      <c r="G75" s="44"/>
      <c r="H75" s="44"/>
      <c r="I75" s="44"/>
      <c r="J75" s="44"/>
      <c r="K75" s="44"/>
      <c r="L75" s="44"/>
      <c r="M75" s="44"/>
      <c r="O75" s="8"/>
    </row>
    <row r="76" spans="1:16">
      <c r="A76" s="44"/>
      <c r="B76" s="44"/>
      <c r="C76" s="44"/>
      <c r="D76" s="44"/>
      <c r="E76" s="55"/>
      <c r="F76" s="44"/>
      <c r="G76" s="44"/>
      <c r="H76" s="44"/>
      <c r="I76" s="44"/>
      <c r="J76" s="44"/>
      <c r="K76" s="44"/>
      <c r="L76" s="44"/>
      <c r="M76" s="44"/>
      <c r="O76" s="8"/>
    </row>
    <row r="77" spans="1:16">
      <c r="A77" s="44"/>
      <c r="B77" s="44"/>
      <c r="C77" s="44"/>
      <c r="D77" s="44"/>
      <c r="E77" s="55"/>
      <c r="F77" s="44"/>
      <c r="G77" s="44"/>
      <c r="H77" s="44"/>
      <c r="I77" s="44"/>
      <c r="J77" s="44"/>
      <c r="K77" s="44"/>
      <c r="L77" s="44"/>
      <c r="M77" s="44"/>
      <c r="O77" s="8"/>
    </row>
    <row r="78" spans="1:16">
      <c r="A78" s="44"/>
      <c r="B78" s="44"/>
      <c r="C78" s="44"/>
      <c r="D78" s="44"/>
      <c r="E78" s="55"/>
      <c r="F78" s="44"/>
      <c r="G78" s="44"/>
      <c r="H78" s="44"/>
      <c r="I78" s="44"/>
      <c r="J78" s="44"/>
      <c r="K78" s="44"/>
      <c r="L78" s="44"/>
      <c r="M78" s="44"/>
      <c r="O78" s="8"/>
    </row>
    <row r="79" spans="1:16">
      <c r="A79" s="44"/>
      <c r="B79" s="44"/>
      <c r="C79" s="44"/>
      <c r="D79" s="44"/>
      <c r="E79" s="55"/>
      <c r="F79" s="44"/>
      <c r="G79" s="44"/>
      <c r="H79" s="44"/>
      <c r="I79" s="44"/>
      <c r="J79" s="44"/>
      <c r="K79" s="44"/>
      <c r="L79" s="44"/>
      <c r="M79" s="44"/>
      <c r="O79" s="8"/>
    </row>
    <row r="80" spans="1:16">
      <c r="A80" s="44"/>
      <c r="B80" s="44"/>
      <c r="C80" s="44"/>
      <c r="D80" s="44"/>
      <c r="E80" s="55"/>
      <c r="F80" s="44"/>
      <c r="G80" s="44"/>
      <c r="H80" s="44"/>
      <c r="I80" s="44"/>
      <c r="J80" s="44"/>
      <c r="K80" s="44"/>
      <c r="L80" s="44"/>
      <c r="M80" s="44"/>
      <c r="O80" s="8"/>
    </row>
    <row r="81" spans="1:16">
      <c r="A81" s="44"/>
      <c r="B81" s="44"/>
      <c r="C81" s="44"/>
      <c r="D81" s="44"/>
      <c r="E81" s="55"/>
      <c r="F81" s="44"/>
      <c r="G81" s="44"/>
      <c r="H81" s="44"/>
      <c r="I81" s="44"/>
      <c r="J81" s="44"/>
      <c r="K81" s="44"/>
      <c r="L81" s="44"/>
      <c r="M81" s="44"/>
      <c r="O81" s="8"/>
    </row>
    <row r="82" spans="1:16">
      <c r="A82" s="44"/>
      <c r="B82" s="44"/>
      <c r="C82" s="44"/>
      <c r="D82" s="44"/>
      <c r="E82" s="55"/>
      <c r="F82" s="44"/>
      <c r="G82" s="44"/>
      <c r="H82" s="44"/>
      <c r="I82" s="44"/>
      <c r="J82" s="44"/>
      <c r="K82" s="44"/>
      <c r="L82" s="44"/>
      <c r="M82" s="44"/>
      <c r="O82" s="8"/>
    </row>
    <row r="83" spans="1:16">
      <c r="A83" s="44"/>
      <c r="B83" s="44"/>
      <c r="C83" s="44"/>
      <c r="D83" s="44"/>
      <c r="E83" s="55"/>
      <c r="F83" s="44"/>
      <c r="G83" s="44"/>
      <c r="H83" s="44"/>
      <c r="I83" s="44"/>
      <c r="J83" s="44"/>
      <c r="K83" s="44"/>
      <c r="L83" s="44"/>
      <c r="M83" s="44"/>
      <c r="O83" s="8"/>
    </row>
    <row r="84" spans="1:16">
      <c r="A84" s="44"/>
      <c r="B84" s="44"/>
      <c r="C84" s="44"/>
      <c r="D84" s="44"/>
      <c r="E84" s="55"/>
      <c r="F84" s="44"/>
      <c r="G84" s="44"/>
      <c r="H84" s="44"/>
      <c r="I84" s="44"/>
      <c r="J84" s="44"/>
      <c r="K84" s="44"/>
      <c r="L84" s="44"/>
      <c r="M84" s="44"/>
      <c r="O84" s="8"/>
    </row>
    <row r="85" spans="1:16">
      <c r="A85" s="44"/>
      <c r="B85" s="44"/>
      <c r="C85" s="44"/>
      <c r="D85" s="44"/>
      <c r="E85" s="55"/>
      <c r="F85" s="44"/>
      <c r="G85" s="44"/>
      <c r="H85" s="44"/>
      <c r="I85" s="44"/>
      <c r="J85" s="44"/>
      <c r="K85" s="44"/>
      <c r="L85" s="44"/>
      <c r="M85" s="44"/>
      <c r="O85" s="8"/>
    </row>
    <row r="86" spans="1:16">
      <c r="A86" s="44"/>
      <c r="B86" s="44"/>
      <c r="C86" s="44"/>
      <c r="D86" s="44"/>
      <c r="E86" s="55"/>
      <c r="F86" s="44"/>
      <c r="G86" s="44"/>
      <c r="H86" s="44"/>
      <c r="I86" s="44"/>
      <c r="J86" s="44"/>
      <c r="K86" s="44"/>
      <c r="L86" s="44"/>
      <c r="M86" s="44"/>
      <c r="O86" s="8"/>
    </row>
    <row r="87" spans="1:16">
      <c r="A87" s="44"/>
      <c r="B87" s="44"/>
      <c r="C87" s="44"/>
      <c r="D87" s="44"/>
      <c r="E87" s="55"/>
      <c r="F87" s="44"/>
      <c r="G87" s="44"/>
      <c r="H87" s="44"/>
      <c r="I87" s="44"/>
      <c r="J87" s="44"/>
      <c r="K87" s="44"/>
      <c r="L87" s="44"/>
      <c r="M87" s="44"/>
      <c r="O87" s="8"/>
    </row>
    <row r="88" spans="1:16">
      <c r="A88" s="44"/>
      <c r="B88" s="44"/>
      <c r="C88" s="44"/>
      <c r="D88" s="44"/>
      <c r="E88" s="55"/>
      <c r="F88" s="44"/>
      <c r="G88" s="44"/>
      <c r="H88" s="44"/>
      <c r="I88" s="44"/>
      <c r="J88" s="44"/>
      <c r="K88" s="44"/>
      <c r="L88" s="44"/>
      <c r="M88" s="44"/>
      <c r="O88" s="8"/>
    </row>
    <row r="89" spans="1:16">
      <c r="A89" s="44"/>
      <c r="B89" s="44"/>
      <c r="C89" s="44"/>
      <c r="D89" s="44"/>
      <c r="E89" s="55"/>
      <c r="F89" s="44"/>
      <c r="G89" s="44"/>
      <c r="H89" s="44"/>
      <c r="I89" s="44"/>
      <c r="J89" s="44"/>
      <c r="K89" s="44"/>
      <c r="L89" s="44"/>
      <c r="M89" s="44"/>
      <c r="O89" s="8"/>
    </row>
    <row r="90" spans="1:16">
      <c r="A90" s="44"/>
      <c r="B90" s="44"/>
      <c r="C90" s="44"/>
      <c r="D90" s="44"/>
      <c r="E90" s="55"/>
      <c r="F90" s="44"/>
      <c r="G90" s="44"/>
      <c r="H90" s="44"/>
      <c r="I90" s="44"/>
      <c r="J90" s="44"/>
      <c r="K90" s="44"/>
      <c r="L90" s="44"/>
      <c r="M90" s="44"/>
      <c r="O90" s="8"/>
    </row>
    <row r="91" spans="1:16">
      <c r="A91" s="44"/>
      <c r="B91" s="44"/>
      <c r="C91" s="44"/>
      <c r="D91" s="44"/>
      <c r="E91" s="55"/>
      <c r="F91" s="44"/>
      <c r="G91" s="44"/>
      <c r="H91" s="44"/>
      <c r="I91" s="44"/>
      <c r="J91" s="44"/>
      <c r="K91" s="44"/>
      <c r="L91" s="44"/>
      <c r="M91" s="44"/>
      <c r="O91" s="8"/>
    </row>
    <row r="92" spans="1:16">
      <c r="A92" s="44"/>
      <c r="B92" s="44"/>
      <c r="C92" s="44"/>
      <c r="D92" s="44"/>
      <c r="E92" s="55"/>
      <c r="F92" s="44"/>
      <c r="G92" s="44"/>
      <c r="H92" s="44"/>
      <c r="I92" s="44"/>
      <c r="J92" s="44"/>
      <c r="K92" s="44"/>
      <c r="L92" s="44"/>
      <c r="M92" s="44"/>
      <c r="O92" s="8"/>
    </row>
    <row r="93" spans="1:16">
      <c r="A93" s="44"/>
      <c r="B93" s="44"/>
      <c r="C93" s="44"/>
      <c r="D93" s="44"/>
      <c r="E93" s="55"/>
      <c r="F93" s="44"/>
      <c r="G93" s="44"/>
      <c r="H93" s="44"/>
      <c r="I93" s="44"/>
      <c r="J93" s="44"/>
      <c r="K93" s="44"/>
      <c r="L93" s="44"/>
      <c r="M93" s="44"/>
      <c r="O93" s="8"/>
    </row>
    <row r="94" spans="1:16">
      <c r="A94" s="44"/>
      <c r="B94" s="44"/>
      <c r="C94" s="44"/>
      <c r="D94" s="44"/>
      <c r="E94" s="55"/>
      <c r="F94" s="44"/>
      <c r="G94" s="44"/>
      <c r="H94" s="44"/>
      <c r="I94" s="44"/>
      <c r="J94" s="44"/>
      <c r="K94" s="44"/>
      <c r="L94" s="44"/>
      <c r="M94" s="44"/>
      <c r="O94" s="8"/>
    </row>
    <row r="95" spans="1:16">
      <c r="A95" s="44"/>
      <c r="B95" s="44"/>
      <c r="C95" s="44"/>
      <c r="D95" s="44"/>
      <c r="E95" s="55"/>
      <c r="F95" s="44"/>
      <c r="G95" s="44"/>
      <c r="H95" s="44"/>
      <c r="I95" s="44"/>
      <c r="J95" s="44"/>
      <c r="K95" s="44"/>
      <c r="L95" s="44"/>
      <c r="M95" s="44"/>
      <c r="O95" s="8"/>
    </row>
    <row r="96" spans="1:16">
      <c r="A96" s="44"/>
      <c r="B96" s="44"/>
      <c r="C96" s="44"/>
      <c r="D96" s="44"/>
      <c r="E96" s="55"/>
      <c r="F96" s="44"/>
      <c r="G96" s="44"/>
      <c r="H96" s="44"/>
      <c r="I96" s="44"/>
      <c r="J96" s="44"/>
      <c r="K96" s="44"/>
      <c r="L96" s="44"/>
      <c r="M96" s="44"/>
      <c r="N96" s="44"/>
      <c r="O96" s="40"/>
      <c r="P96" s="44"/>
    </row>
    <row r="97" spans="1:16">
      <c r="A97" s="44"/>
      <c r="B97" s="44"/>
      <c r="C97" s="44"/>
      <c r="D97" s="44"/>
      <c r="E97" s="55"/>
      <c r="F97" s="44"/>
      <c r="G97" s="44"/>
      <c r="H97" s="44"/>
      <c r="I97" s="44"/>
      <c r="J97" s="44"/>
      <c r="K97" s="44"/>
      <c r="L97" s="44"/>
      <c r="M97" s="44"/>
      <c r="N97" s="44"/>
      <c r="O97" s="40"/>
      <c r="P97" s="44"/>
    </row>
    <row r="98" spans="1:16">
      <c r="A98" s="44"/>
      <c r="B98" s="44"/>
      <c r="C98" s="44"/>
      <c r="D98" s="44"/>
      <c r="E98" s="55"/>
      <c r="F98" s="44"/>
      <c r="G98" s="44"/>
      <c r="H98" s="44"/>
      <c r="I98" s="44"/>
      <c r="J98" s="44"/>
      <c r="K98" s="44"/>
      <c r="L98" s="44"/>
      <c r="M98" s="44"/>
      <c r="N98" s="44"/>
      <c r="O98" s="40"/>
      <c r="P98" s="44"/>
    </row>
    <row r="99" spans="1:16">
      <c r="A99" s="44"/>
      <c r="B99" s="44"/>
      <c r="C99" s="44"/>
      <c r="D99" s="44"/>
      <c r="E99" s="55"/>
      <c r="F99" s="44"/>
      <c r="G99" s="44"/>
      <c r="H99" s="44"/>
      <c r="I99" s="44"/>
      <c r="J99" s="44"/>
      <c r="K99" s="44"/>
      <c r="L99" s="44"/>
      <c r="M99" s="44"/>
      <c r="N99" s="44"/>
      <c r="O99" s="40"/>
      <c r="P99" s="44"/>
    </row>
    <row r="100" spans="1:16">
      <c r="A100" s="44"/>
      <c r="B100" s="44"/>
      <c r="C100" s="44"/>
      <c r="D100" s="44"/>
      <c r="E100" s="55"/>
      <c r="F100" s="44"/>
      <c r="G100" s="44"/>
      <c r="H100" s="44"/>
      <c r="I100" s="44"/>
      <c r="J100" s="44"/>
      <c r="K100" s="44"/>
      <c r="L100" s="44"/>
      <c r="M100" s="44"/>
      <c r="N100" s="44"/>
      <c r="O100" s="40"/>
      <c r="P100" s="44"/>
    </row>
    <row r="101" spans="1:16">
      <c r="A101" s="44"/>
      <c r="B101" s="44"/>
      <c r="C101" s="44"/>
      <c r="D101" s="44"/>
      <c r="E101" s="55"/>
      <c r="F101" s="44"/>
      <c r="G101" s="44"/>
      <c r="H101" s="44"/>
      <c r="I101" s="44"/>
      <c r="J101" s="44"/>
      <c r="K101" s="44"/>
      <c r="L101" s="44"/>
      <c r="M101" s="44"/>
      <c r="N101" s="44"/>
      <c r="O101" s="40"/>
      <c r="P101" s="44"/>
    </row>
    <row r="102" spans="1:16">
      <c r="A102" s="44"/>
      <c r="B102" s="44"/>
      <c r="C102" s="44"/>
      <c r="D102" s="44"/>
      <c r="E102" s="55"/>
      <c r="F102" s="44"/>
      <c r="G102" s="44"/>
      <c r="H102" s="44"/>
      <c r="I102" s="44"/>
      <c r="J102" s="44"/>
      <c r="K102" s="44"/>
      <c r="L102" s="44"/>
      <c r="M102" s="44"/>
      <c r="N102" s="44"/>
      <c r="O102" s="40"/>
      <c r="P102" s="44"/>
    </row>
    <row r="103" spans="1:16">
      <c r="A103" s="44"/>
      <c r="B103" s="44"/>
      <c r="C103" s="44"/>
      <c r="D103" s="44"/>
      <c r="E103" s="55"/>
      <c r="F103" s="44"/>
      <c r="G103" s="44"/>
      <c r="H103" s="44"/>
      <c r="I103" s="44"/>
      <c r="J103" s="44"/>
      <c r="K103" s="44"/>
      <c r="L103" s="44"/>
      <c r="M103" s="44"/>
      <c r="N103" s="44"/>
      <c r="O103" s="40"/>
      <c r="P103" s="44"/>
    </row>
    <row r="104" spans="1:16">
      <c r="A104" s="44"/>
      <c r="B104" s="44"/>
      <c r="C104" s="44"/>
      <c r="D104" s="44"/>
      <c r="E104" s="55"/>
      <c r="F104" s="44"/>
      <c r="G104" s="44"/>
      <c r="H104" s="44"/>
      <c r="I104" s="44"/>
      <c r="J104" s="44"/>
      <c r="K104" s="44"/>
      <c r="L104" s="44"/>
      <c r="M104" s="44"/>
      <c r="N104" s="44"/>
      <c r="O104" s="40"/>
      <c r="P104" s="44"/>
    </row>
    <row r="105" spans="1:16">
      <c r="A105" s="44"/>
      <c r="B105" s="44"/>
      <c r="C105" s="44"/>
      <c r="D105" s="44"/>
      <c r="E105" s="55"/>
      <c r="F105" s="44"/>
      <c r="G105" s="44"/>
      <c r="H105" s="44"/>
      <c r="I105" s="44"/>
      <c r="J105" s="44"/>
      <c r="K105" s="44"/>
      <c r="L105" s="44"/>
      <c r="M105" s="44"/>
      <c r="N105" s="44"/>
      <c r="O105" s="40"/>
      <c r="P105" s="44"/>
    </row>
    <row r="106" spans="1:16">
      <c r="A106" s="44"/>
      <c r="B106" s="44"/>
      <c r="C106" s="44"/>
      <c r="D106" s="44"/>
      <c r="E106" s="55"/>
      <c r="F106" s="44"/>
      <c r="G106" s="44"/>
      <c r="H106" s="44"/>
      <c r="I106" s="44"/>
      <c r="J106" s="44"/>
      <c r="K106" s="44"/>
      <c r="L106" s="44"/>
      <c r="M106" s="44"/>
      <c r="N106" s="44"/>
      <c r="O106" s="40"/>
      <c r="P106" s="44"/>
    </row>
    <row r="107" spans="1:16">
      <c r="A107" s="44"/>
      <c r="B107" s="44"/>
      <c r="C107" s="44"/>
      <c r="D107" s="44"/>
      <c r="E107" s="55"/>
      <c r="F107" s="44"/>
      <c r="G107" s="44"/>
      <c r="H107" s="44"/>
      <c r="I107" s="44"/>
      <c r="J107" s="44"/>
      <c r="K107" s="44"/>
      <c r="L107" s="44"/>
      <c r="M107" s="44"/>
      <c r="N107" s="44"/>
      <c r="O107" s="40"/>
      <c r="P107" s="44"/>
    </row>
    <row r="108" spans="1:16">
      <c r="A108" s="44"/>
      <c r="B108" s="44"/>
      <c r="C108" s="44"/>
      <c r="D108" s="44"/>
      <c r="E108" s="55"/>
      <c r="F108" s="44"/>
      <c r="G108" s="44"/>
      <c r="H108" s="44"/>
      <c r="I108" s="44"/>
      <c r="J108" s="44"/>
      <c r="K108" s="44"/>
      <c r="L108" s="44"/>
      <c r="M108" s="44"/>
      <c r="N108" s="44"/>
      <c r="O108" s="40"/>
      <c r="P108" s="44"/>
    </row>
    <row r="109" spans="1:16">
      <c r="A109" s="44"/>
      <c r="B109" s="44"/>
      <c r="C109" s="44"/>
      <c r="D109" s="44"/>
      <c r="E109" s="55"/>
      <c r="F109" s="44"/>
      <c r="G109" s="44"/>
      <c r="H109" s="44"/>
      <c r="I109" s="44"/>
      <c r="J109" s="44"/>
      <c r="K109" s="44"/>
      <c r="L109" s="44"/>
      <c r="M109" s="44"/>
      <c r="N109" s="44"/>
      <c r="O109" s="40"/>
      <c r="P109" s="44"/>
    </row>
    <row r="110" spans="1:16">
      <c r="A110" s="44"/>
      <c r="B110" s="44"/>
      <c r="C110" s="44"/>
      <c r="D110" s="44"/>
      <c r="E110" s="55"/>
      <c r="F110" s="44"/>
      <c r="G110" s="44"/>
      <c r="H110" s="44"/>
      <c r="I110" s="44"/>
      <c r="J110" s="44"/>
      <c r="K110" s="44"/>
      <c r="L110" s="44"/>
      <c r="M110" s="44"/>
      <c r="N110" s="44"/>
      <c r="O110" s="40"/>
      <c r="P110" s="44"/>
    </row>
    <row r="111" spans="1:16">
      <c r="A111" s="44"/>
      <c r="B111" s="44"/>
      <c r="C111" s="44"/>
      <c r="D111" s="44"/>
      <c r="E111" s="55"/>
      <c r="F111" s="44"/>
      <c r="G111" s="44"/>
      <c r="H111" s="44"/>
      <c r="I111" s="44"/>
      <c r="J111" s="44"/>
      <c r="K111" s="44"/>
      <c r="L111" s="44"/>
      <c r="M111" s="44"/>
      <c r="N111" s="44"/>
      <c r="O111" s="40"/>
      <c r="P111" s="44"/>
    </row>
    <row r="112" spans="1:16">
      <c r="A112" s="44"/>
      <c r="B112" s="44"/>
      <c r="C112" s="44"/>
      <c r="D112" s="44"/>
      <c r="E112" s="55"/>
      <c r="F112" s="44"/>
      <c r="G112" s="44"/>
      <c r="H112" s="44"/>
      <c r="I112" s="44"/>
      <c r="J112" s="44"/>
      <c r="K112" s="44"/>
      <c r="L112" s="44"/>
      <c r="M112" s="44"/>
      <c r="N112" s="44"/>
      <c r="O112" s="40"/>
      <c r="P112" s="44"/>
    </row>
  </sheetData>
  <mergeCells count="11">
    <mergeCell ref="A1:M1"/>
    <mergeCell ref="H4:I4"/>
    <mergeCell ref="J4:K4"/>
    <mergeCell ref="L4:M4"/>
    <mergeCell ref="A6:B6"/>
    <mergeCell ref="A2:M2"/>
    <mergeCell ref="A4:A5"/>
    <mergeCell ref="B4:B5"/>
    <mergeCell ref="C4:C5"/>
    <mergeCell ref="D4:E4"/>
    <mergeCell ref="F4:G4"/>
  </mergeCells>
  <hyperlinks>
    <hyperlink ref="O1" location="INDICE!Área_de_impresión" display="INDICE"/>
  </hyperlink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0"/>
  <dimension ref="A1:P80"/>
  <sheetViews>
    <sheetView showGridLines="0" zoomScale="90" zoomScaleNormal="90" workbookViewId="0">
      <selection sqref="A1:M1"/>
    </sheetView>
  </sheetViews>
  <sheetFormatPr baseColWidth="10" defaultRowHeight="12.75"/>
  <cols>
    <col min="1" max="1" width="21.5703125" style="8" bestFit="1" customWidth="1"/>
    <col min="2" max="2" width="26.42578125" style="8" customWidth="1"/>
    <col min="3" max="3" width="23" style="8" bestFit="1" customWidth="1"/>
    <col min="4" max="13" width="13.7109375" style="8" customWidth="1"/>
    <col min="14" max="14" width="1.7109375" style="2" customWidth="1"/>
    <col min="15" max="15" width="13.7109375" style="2" customWidth="1"/>
    <col min="16" max="16" width="11.42578125" style="8"/>
    <col min="17" max="17" width="12.140625" style="8" bestFit="1" customWidth="1"/>
    <col min="18" max="24" width="11.5703125" style="8" bestFit="1" customWidth="1"/>
    <col min="25" max="25" width="12.140625" style="8" bestFit="1" customWidth="1"/>
    <col min="26" max="16384" width="11.42578125" style="8"/>
  </cols>
  <sheetData>
    <row r="1" spans="1:16" s="30" customFormat="1" ht="30" customHeight="1">
      <c r="A1" s="396" t="s">
        <v>54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8"/>
      <c r="O1" s="31" t="s">
        <v>134</v>
      </c>
    </row>
    <row r="2" spans="1:16" ht="30" customHeight="1">
      <c r="A2" s="328" t="s">
        <v>300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38"/>
      <c r="N2" s="19"/>
    </row>
    <row r="3" spans="1:16" ht="8.1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0"/>
      <c r="O3" s="40"/>
      <c r="P3" s="44"/>
    </row>
    <row r="4" spans="1:16" ht="15" customHeight="1">
      <c r="A4" s="384" t="s">
        <v>224</v>
      </c>
      <c r="B4" s="384" t="s">
        <v>225</v>
      </c>
      <c r="C4" s="384" t="s">
        <v>226</v>
      </c>
      <c r="D4" s="394" t="s">
        <v>0</v>
      </c>
      <c r="E4" s="395"/>
      <c r="F4" s="394" t="s">
        <v>37</v>
      </c>
      <c r="G4" s="395" t="s">
        <v>37</v>
      </c>
      <c r="H4" s="394" t="s">
        <v>42</v>
      </c>
      <c r="I4" s="395"/>
      <c r="J4" s="394" t="s">
        <v>39</v>
      </c>
      <c r="K4" s="395"/>
      <c r="L4" s="394" t="s">
        <v>267</v>
      </c>
      <c r="M4" s="395" t="s">
        <v>39</v>
      </c>
      <c r="N4" s="8"/>
      <c r="O4" s="8"/>
    </row>
    <row r="5" spans="1:16" ht="15" customHeight="1">
      <c r="A5" s="386"/>
      <c r="B5" s="386"/>
      <c r="C5" s="386"/>
      <c r="D5" s="286" t="s">
        <v>107</v>
      </c>
      <c r="E5" s="286" t="s">
        <v>145</v>
      </c>
      <c r="F5" s="286" t="s">
        <v>107</v>
      </c>
      <c r="G5" s="286" t="s">
        <v>145</v>
      </c>
      <c r="H5" s="286" t="s">
        <v>107</v>
      </c>
      <c r="I5" s="286" t="s">
        <v>145</v>
      </c>
      <c r="J5" s="286" t="s">
        <v>107</v>
      </c>
      <c r="K5" s="286" t="s">
        <v>145</v>
      </c>
      <c r="L5" s="286" t="s">
        <v>107</v>
      </c>
      <c r="M5" s="286" t="s">
        <v>145</v>
      </c>
      <c r="N5" s="8"/>
      <c r="O5" s="8"/>
    </row>
    <row r="6" spans="1:16" s="5" customFormat="1" ht="15" customHeight="1">
      <c r="A6" s="349" t="s">
        <v>0</v>
      </c>
      <c r="B6" s="383"/>
      <c r="C6" s="256"/>
      <c r="D6" s="266">
        <v>9636506.3346653134</v>
      </c>
      <c r="E6" s="244">
        <v>1</v>
      </c>
      <c r="F6" s="266">
        <v>7397924.5099999998</v>
      </c>
      <c r="G6" s="244">
        <v>1</v>
      </c>
      <c r="H6" s="266">
        <v>799623.16</v>
      </c>
      <c r="I6" s="244">
        <v>1</v>
      </c>
      <c r="J6" s="266">
        <v>986112.47</v>
      </c>
      <c r="K6" s="244">
        <v>1</v>
      </c>
      <c r="L6" s="266">
        <v>452846.2</v>
      </c>
      <c r="M6" s="244">
        <v>1</v>
      </c>
    </row>
    <row r="7" spans="1:16" ht="15" customHeight="1">
      <c r="A7" s="160" t="s">
        <v>141</v>
      </c>
      <c r="B7" s="257"/>
      <c r="C7" s="169"/>
      <c r="D7" s="114">
        <v>1037469.2701645668</v>
      </c>
      <c r="E7" s="137">
        <v>0.10766035397945509</v>
      </c>
      <c r="F7" s="114">
        <v>825347.41781168396</v>
      </c>
      <c r="G7" s="137">
        <v>0.11156478347874869</v>
      </c>
      <c r="H7" s="114">
        <v>59097.900747248597</v>
      </c>
      <c r="I7" s="137">
        <v>7.3907189821296723E-2</v>
      </c>
      <c r="J7" s="114">
        <v>87031.6599565613</v>
      </c>
      <c r="K7" s="137">
        <v>8.8257336602470968E-2</v>
      </c>
      <c r="L7" s="114">
        <v>65992.291649073071</v>
      </c>
      <c r="M7" s="137">
        <v>0.14572782469625867</v>
      </c>
      <c r="N7" s="8"/>
      <c r="O7" s="8"/>
    </row>
    <row r="8" spans="1:16" ht="15" customHeight="1">
      <c r="A8" s="161" t="s">
        <v>104</v>
      </c>
      <c r="B8" s="258"/>
      <c r="C8" s="172"/>
      <c r="D8" s="116">
        <v>3809356.163692629</v>
      </c>
      <c r="E8" s="139">
        <v>0.39530484883847539</v>
      </c>
      <c r="F8" s="116">
        <v>3027421.9580183802</v>
      </c>
      <c r="G8" s="139">
        <v>0.40922606402603884</v>
      </c>
      <c r="H8" s="116">
        <v>201895.42333223499</v>
      </c>
      <c r="I8" s="139">
        <v>0.25248821341528355</v>
      </c>
      <c r="J8" s="116">
        <v>416165.17786409101</v>
      </c>
      <c r="K8" s="139">
        <v>0.42202607882362059</v>
      </c>
      <c r="L8" s="116">
        <v>163873.60447792322</v>
      </c>
      <c r="M8" s="139">
        <v>0.36187474792805224</v>
      </c>
      <c r="N8" s="8"/>
      <c r="O8" s="8"/>
    </row>
    <row r="9" spans="1:16" ht="15" customHeight="1">
      <c r="A9" s="162" t="s">
        <v>2</v>
      </c>
      <c r="B9" s="257"/>
      <c r="C9" s="169"/>
      <c r="D9" s="118">
        <v>4266786.1778759668</v>
      </c>
      <c r="E9" s="140">
        <v>0.44277331722018809</v>
      </c>
      <c r="F9" s="118">
        <v>3321686.2386077899</v>
      </c>
      <c r="G9" s="140">
        <v>0.44900268419955441</v>
      </c>
      <c r="H9" s="118">
        <v>310935.24779939</v>
      </c>
      <c r="I9" s="140">
        <v>0.38885222809392833</v>
      </c>
      <c r="J9" s="118">
        <v>446329.11324331502</v>
      </c>
      <c r="K9" s="140">
        <v>0.45261481629396288</v>
      </c>
      <c r="L9" s="118">
        <v>187835.57822547195</v>
      </c>
      <c r="M9" s="140">
        <v>0.41478890233002597</v>
      </c>
      <c r="N9" s="8"/>
      <c r="O9" s="8"/>
    </row>
    <row r="10" spans="1:16" ht="15" customHeight="1">
      <c r="A10" s="161"/>
      <c r="B10" s="259" t="s">
        <v>93</v>
      </c>
      <c r="C10" s="179"/>
      <c r="D10" s="116">
        <v>285398.68304058071</v>
      </c>
      <c r="E10" s="139">
        <v>2.9616417685841764E-2</v>
      </c>
      <c r="F10" s="116">
        <v>229838.57684447899</v>
      </c>
      <c r="G10" s="139">
        <v>3.1067996951762007E-2</v>
      </c>
      <c r="H10" s="116">
        <v>18173.928881457599</v>
      </c>
      <c r="I10" s="139">
        <v>2.2728117152336712E-2</v>
      </c>
      <c r="J10" s="116">
        <v>29114.307389821701</v>
      </c>
      <c r="K10" s="139">
        <v>2.9524327452030676E-2</v>
      </c>
      <c r="L10" s="116">
        <v>18717.892262474008</v>
      </c>
      <c r="M10" s="139">
        <v>4.1333883915025134E-2</v>
      </c>
      <c r="N10" s="8"/>
      <c r="O10" s="8"/>
    </row>
    <row r="11" spans="1:16" ht="15" customHeight="1">
      <c r="A11" s="162"/>
      <c r="B11" s="260"/>
      <c r="C11" s="183" t="s">
        <v>227</v>
      </c>
      <c r="D11" s="268">
        <v>22082.270115595846</v>
      </c>
      <c r="E11" s="206">
        <v>2.2915233112763742E-3</v>
      </c>
      <c r="F11" s="268">
        <v>17144.084160594601</v>
      </c>
      <c r="G11" s="206">
        <v>2.3174193025155727E-3</v>
      </c>
      <c r="H11" s="268">
        <v>1055.9136793881701</v>
      </c>
      <c r="I11" s="206">
        <v>1.320514125725161E-3</v>
      </c>
      <c r="J11" s="268">
        <v>3486.07269929616</v>
      </c>
      <c r="K11" s="206">
        <v>3.535167452810033E-3</v>
      </c>
      <c r="L11" s="268">
        <v>396.19957631691028</v>
      </c>
      <c r="M11" s="206">
        <v>8.7490979566631918E-4</v>
      </c>
      <c r="N11" s="8"/>
      <c r="O11" s="8"/>
    </row>
    <row r="12" spans="1:16" ht="15" customHeight="1">
      <c r="A12" s="161"/>
      <c r="B12" s="259"/>
      <c r="C12" s="179" t="s">
        <v>228</v>
      </c>
      <c r="D12" s="267">
        <v>316043.39067963994</v>
      </c>
      <c r="E12" s="205">
        <v>3.2796483030326326E-2</v>
      </c>
      <c r="F12" s="267">
        <v>250257.83524587701</v>
      </c>
      <c r="G12" s="205">
        <v>3.3828131766733181E-2</v>
      </c>
      <c r="H12" s="267">
        <v>16571.682313369602</v>
      </c>
      <c r="I12" s="205">
        <v>2.072436507737466E-2</v>
      </c>
      <c r="J12" s="267">
        <v>41191.785262560799</v>
      </c>
      <c r="K12" s="205">
        <v>4.1771893802658118E-2</v>
      </c>
      <c r="L12" s="267">
        <v>8022.0878578325101</v>
      </c>
      <c r="M12" s="205">
        <v>1.7714817652655673E-2</v>
      </c>
      <c r="N12" s="8"/>
      <c r="O12" s="8"/>
    </row>
    <row r="13" spans="1:16" ht="15" customHeight="1">
      <c r="A13" s="162"/>
      <c r="B13" s="260"/>
      <c r="C13" s="183" t="s">
        <v>229</v>
      </c>
      <c r="D13" s="268">
        <v>266548.35631742893</v>
      </c>
      <c r="E13" s="206">
        <v>2.7660279893614928E-2</v>
      </c>
      <c r="F13" s="268">
        <v>215649.72696082399</v>
      </c>
      <c r="G13" s="206">
        <v>2.9150045879376609E-2</v>
      </c>
      <c r="H13" s="268">
        <v>13150.739972124</v>
      </c>
      <c r="I13" s="206">
        <v>1.6446171913399695E-2</v>
      </c>
      <c r="J13" s="268">
        <v>27448.284556156301</v>
      </c>
      <c r="K13" s="206">
        <v>2.7834841831607043E-2</v>
      </c>
      <c r="L13" s="268">
        <v>10299.604828324589</v>
      </c>
      <c r="M13" s="206">
        <v>2.2744156466703143E-2</v>
      </c>
      <c r="N13" s="8"/>
      <c r="O13" s="8"/>
    </row>
    <row r="14" spans="1:16" ht="15" customHeight="1">
      <c r="A14" s="161"/>
      <c r="B14" s="259" t="s">
        <v>94</v>
      </c>
      <c r="C14" s="179"/>
      <c r="D14" s="116">
        <v>489640.7433059063</v>
      </c>
      <c r="E14" s="139">
        <v>5.081104304777679E-2</v>
      </c>
      <c r="F14" s="116">
        <v>393942.31344474899</v>
      </c>
      <c r="G14" s="139">
        <v>5.3250410619941721E-2</v>
      </c>
      <c r="H14" s="116">
        <v>26052.4570242878</v>
      </c>
      <c r="I14" s="139">
        <v>3.2580918480338013E-2</v>
      </c>
      <c r="J14" s="116">
        <v>54206.011799886503</v>
      </c>
      <c r="K14" s="139">
        <v>5.4969401154567152E-2</v>
      </c>
      <c r="L14" s="116">
        <v>11790.721898987455</v>
      </c>
      <c r="M14" s="139">
        <v>2.6036923570938248E-2</v>
      </c>
      <c r="N14" s="8"/>
      <c r="O14" s="8"/>
    </row>
    <row r="15" spans="1:16" ht="15" customHeight="1">
      <c r="A15" s="162"/>
      <c r="B15" s="260"/>
      <c r="C15" s="183" t="s">
        <v>230</v>
      </c>
      <c r="D15" s="268">
        <v>14517.678163062308</v>
      </c>
      <c r="E15" s="206">
        <v>1.50652979798348E-3</v>
      </c>
      <c r="F15" s="268">
        <v>11066.4279502148</v>
      </c>
      <c r="G15" s="206">
        <v>1.4958835655200242E-3</v>
      </c>
      <c r="H15" s="268">
        <v>720.50100161605599</v>
      </c>
      <c r="I15" s="206">
        <v>9.0105069079550026E-4</v>
      </c>
      <c r="J15" s="268">
        <v>2196.0184198706302</v>
      </c>
      <c r="K15" s="206">
        <v>2.2269451940188688E-3</v>
      </c>
      <c r="L15" s="268">
        <v>534.73079136082117</v>
      </c>
      <c r="M15" s="206">
        <v>1.1808220790013428E-3</v>
      </c>
      <c r="N15" s="8"/>
      <c r="O15" s="8"/>
    </row>
    <row r="16" spans="1:16" ht="15" customHeight="1">
      <c r="A16" s="161"/>
      <c r="B16" s="259"/>
      <c r="C16" s="179" t="s">
        <v>231</v>
      </c>
      <c r="D16" s="267">
        <v>15288.881447342384</v>
      </c>
      <c r="E16" s="205">
        <v>1.5865591742391654E-3</v>
      </c>
      <c r="F16" s="267">
        <v>11642.833316541</v>
      </c>
      <c r="G16" s="205">
        <v>1.5737980758248761E-3</v>
      </c>
      <c r="H16" s="267">
        <v>1061.7246738593999</v>
      </c>
      <c r="I16" s="205">
        <v>1.327781292003579E-3</v>
      </c>
      <c r="J16" s="267">
        <v>2252.1720115916301</v>
      </c>
      <c r="K16" s="205">
        <v>2.2838896030814054E-3</v>
      </c>
      <c r="L16" s="267">
        <v>332.15144535035353</v>
      </c>
      <c r="M16" s="205">
        <v>7.3347517401004122E-4</v>
      </c>
      <c r="N16" s="8"/>
      <c r="O16" s="8"/>
    </row>
    <row r="17" spans="1:15" ht="15" customHeight="1">
      <c r="A17" s="162"/>
      <c r="B17" s="260"/>
      <c r="C17" s="183" t="s">
        <v>232</v>
      </c>
      <c r="D17" s="268">
        <v>133613.25133193753</v>
      </c>
      <c r="E17" s="206">
        <v>1.386532627849355E-2</v>
      </c>
      <c r="F17" s="268">
        <v>106486.757368942</v>
      </c>
      <c r="G17" s="206">
        <v>1.4394146965067151E-2</v>
      </c>
      <c r="H17" s="268">
        <v>5874.87900912654</v>
      </c>
      <c r="I17" s="206">
        <v>7.3470595844283264E-3</v>
      </c>
      <c r="J17" s="268">
        <v>16484.750295842801</v>
      </c>
      <c r="K17" s="206">
        <v>1.6716906886459958E-2</v>
      </c>
      <c r="L17" s="268">
        <v>4766.8646580262121</v>
      </c>
      <c r="M17" s="206">
        <v>1.0526453921764848E-2</v>
      </c>
      <c r="N17" s="8"/>
      <c r="O17" s="8"/>
    </row>
    <row r="18" spans="1:15" ht="15" customHeight="1">
      <c r="A18" s="161"/>
      <c r="B18" s="259"/>
      <c r="C18" s="179" t="s">
        <v>233</v>
      </c>
      <c r="D18" s="267">
        <v>108187.90742442038</v>
      </c>
      <c r="E18" s="205">
        <v>1.1226885214404512E-2</v>
      </c>
      <c r="F18" s="267">
        <v>84088.043438406297</v>
      </c>
      <c r="G18" s="205">
        <v>1.1366442975287647E-2</v>
      </c>
      <c r="H18" s="267">
        <v>4894.80187263685</v>
      </c>
      <c r="I18" s="205">
        <v>6.1213858117532662E-3</v>
      </c>
      <c r="J18" s="267">
        <v>13792.9625797719</v>
      </c>
      <c r="K18" s="205">
        <v>1.3987210421538566E-2</v>
      </c>
      <c r="L18" s="267">
        <v>5412.0995336053293</v>
      </c>
      <c r="M18" s="205">
        <v>1.1951297225227043E-2</v>
      </c>
      <c r="N18" s="8"/>
      <c r="O18" s="8"/>
    </row>
    <row r="19" spans="1:15" ht="15" customHeight="1">
      <c r="A19" s="162"/>
      <c r="B19" s="260"/>
      <c r="C19" s="183" t="s">
        <v>234</v>
      </c>
      <c r="D19" s="268">
        <v>25764.998765419052</v>
      </c>
      <c r="E19" s="206">
        <v>2.6736877584096906E-3</v>
      </c>
      <c r="F19" s="268">
        <v>20634.124069915801</v>
      </c>
      <c r="G19" s="206">
        <v>2.7891788772265113E-3</v>
      </c>
      <c r="H19" s="268">
        <v>1713.75704727428</v>
      </c>
      <c r="I19" s="206">
        <v>2.1432058634736195E-3</v>
      </c>
      <c r="J19" s="268">
        <v>2672.2421775842299</v>
      </c>
      <c r="K19" s="206">
        <v>2.7098756644201071E-3</v>
      </c>
      <c r="L19" s="268">
        <v>744.87547064473779</v>
      </c>
      <c r="M19" s="206">
        <v>1.6448751709349709E-3</v>
      </c>
      <c r="N19" s="8"/>
      <c r="O19" s="8"/>
    </row>
    <row r="20" spans="1:15" ht="15" customHeight="1">
      <c r="A20" s="161"/>
      <c r="B20" s="259" t="s">
        <v>95</v>
      </c>
      <c r="C20" s="179"/>
      <c r="D20" s="116">
        <v>303441.0433637813</v>
      </c>
      <c r="E20" s="139">
        <v>3.1488711116482396E-2</v>
      </c>
      <c r="F20" s="116">
        <v>236240.713492971</v>
      </c>
      <c r="G20" s="139">
        <v>3.1933393721142025E-2</v>
      </c>
      <c r="H20" s="116">
        <v>17192.270807160199</v>
      </c>
      <c r="I20" s="139">
        <v>2.1500466276089907E-2</v>
      </c>
      <c r="J20" s="116">
        <v>38347.986507587899</v>
      </c>
      <c r="K20" s="139">
        <v>3.8888045510294143E-2</v>
      </c>
      <c r="L20" s="116">
        <v>19920.029953325335</v>
      </c>
      <c r="M20" s="139">
        <v>4.3988510785762214E-2</v>
      </c>
      <c r="N20" s="8"/>
      <c r="O20" s="8"/>
    </row>
    <row r="21" spans="1:15" ht="15" customHeight="1">
      <c r="A21" s="162"/>
      <c r="B21" s="260"/>
      <c r="C21" s="183" t="s">
        <v>235</v>
      </c>
      <c r="D21" s="268">
        <v>202546.76255764498</v>
      </c>
      <c r="E21" s="206">
        <v>2.1018700776447786E-2</v>
      </c>
      <c r="F21" s="268">
        <v>161828.34341905901</v>
      </c>
      <c r="G21" s="206">
        <v>2.1874841678357668E-2</v>
      </c>
      <c r="H21" s="268">
        <v>15719.0409899606</v>
      </c>
      <c r="I21" s="206">
        <v>1.9658061142008486E-2</v>
      </c>
      <c r="J21" s="268">
        <v>18459.925916375902</v>
      </c>
      <c r="K21" s="206">
        <v>1.8719899127184674E-2</v>
      </c>
      <c r="L21" s="268">
        <v>6539.4522322494595</v>
      </c>
      <c r="M21" s="206">
        <v>1.4440779744071704E-2</v>
      </c>
      <c r="N21" s="8"/>
      <c r="O21" s="8"/>
    </row>
    <row r="22" spans="1:15" ht="15" customHeight="1">
      <c r="A22" s="161"/>
      <c r="B22" s="259"/>
      <c r="C22" s="179" t="s">
        <v>236</v>
      </c>
      <c r="D22" s="267">
        <v>69581.919542517746</v>
      </c>
      <c r="E22" s="205">
        <v>7.2206611838528407E-3</v>
      </c>
      <c r="F22" s="267">
        <v>55006.7745975094</v>
      </c>
      <c r="G22" s="205">
        <v>7.4354372054698569E-3</v>
      </c>
      <c r="H22" s="267">
        <v>3191.1979532354799</v>
      </c>
      <c r="I22" s="205">
        <v>3.9908773392105419E-3</v>
      </c>
      <c r="J22" s="267">
        <v>8998.5867012816998</v>
      </c>
      <c r="K22" s="205">
        <v>9.1253148088630016E-3</v>
      </c>
      <c r="L22" s="267">
        <v>2385.3602904911618</v>
      </c>
      <c r="M22" s="205">
        <v>5.267484391944059E-3</v>
      </c>
      <c r="N22" s="8"/>
      <c r="O22" s="8"/>
    </row>
    <row r="23" spans="1:15" ht="15" customHeight="1">
      <c r="A23" s="162"/>
      <c r="B23" s="260"/>
      <c r="C23" s="183" t="s">
        <v>237</v>
      </c>
      <c r="D23" s="268">
        <v>210304.19040063483</v>
      </c>
      <c r="E23" s="206">
        <v>2.1823705273028095E-2</v>
      </c>
      <c r="F23" s="268">
        <v>162130.93525007</v>
      </c>
      <c r="G23" s="206">
        <v>2.1915743959482734E-2</v>
      </c>
      <c r="H23" s="268">
        <v>12734.5524928457</v>
      </c>
      <c r="I23" s="206">
        <v>1.5925692393089486E-2</v>
      </c>
      <c r="J23" s="268">
        <v>26958.619800965502</v>
      </c>
      <c r="K23" s="206">
        <v>2.7338281072650926E-2</v>
      </c>
      <c r="L23" s="268">
        <v>8480.0828567536428</v>
      </c>
      <c r="M23" s="206">
        <v>1.872618751490351E-2</v>
      </c>
      <c r="N23" s="8"/>
      <c r="O23" s="8"/>
    </row>
    <row r="24" spans="1:15" ht="15" customHeight="1">
      <c r="A24" s="161"/>
      <c r="B24" s="259"/>
      <c r="C24" s="179" t="s">
        <v>238</v>
      </c>
      <c r="D24" s="267">
        <v>81503.643205244647</v>
      </c>
      <c r="E24" s="205">
        <v>8.4578033590334434E-3</v>
      </c>
      <c r="F24" s="267">
        <v>63788.766482798703</v>
      </c>
      <c r="G24" s="205">
        <v>8.6225264263850385E-3</v>
      </c>
      <c r="H24" s="267">
        <v>4617.1122090752797</v>
      </c>
      <c r="I24" s="205">
        <v>5.7741101485443242E-3</v>
      </c>
      <c r="J24" s="267">
        <v>10582.6299395396</v>
      </c>
      <c r="K24" s="205">
        <v>1.0731666306025912E-2</v>
      </c>
      <c r="L24" s="267">
        <v>2515.1345738310706</v>
      </c>
      <c r="M24" s="205">
        <v>5.5540591348429364E-3</v>
      </c>
      <c r="N24" s="8"/>
      <c r="O24" s="8"/>
    </row>
    <row r="25" spans="1:15" ht="15" customHeight="1">
      <c r="A25" s="162"/>
      <c r="B25" s="260" t="s">
        <v>96</v>
      </c>
      <c r="C25" s="183"/>
      <c r="D25" s="114">
        <v>379023.51225394936</v>
      </c>
      <c r="E25" s="137">
        <v>3.933206184441855E-2</v>
      </c>
      <c r="F25" s="114">
        <v>299791.18967878801</v>
      </c>
      <c r="G25" s="137">
        <v>4.0523709705216196E-2</v>
      </c>
      <c r="H25" s="114">
        <v>17509.524540782801</v>
      </c>
      <c r="I25" s="137">
        <v>2.1897220333609493E-2</v>
      </c>
      <c r="J25" s="114">
        <v>47290.029194277799</v>
      </c>
      <c r="K25" s="137">
        <v>4.7956019988854653E-2</v>
      </c>
      <c r="L25" s="114">
        <v>16144.359530455427</v>
      </c>
      <c r="M25" s="137">
        <v>3.5650866740594957E-2</v>
      </c>
      <c r="N25" s="8"/>
      <c r="O25" s="8"/>
    </row>
    <row r="26" spans="1:15" ht="15" customHeight="1">
      <c r="A26" s="161"/>
      <c r="B26" s="259"/>
      <c r="C26" s="179" t="s">
        <v>239</v>
      </c>
      <c r="D26" s="267">
        <v>52345.022287185522</v>
      </c>
      <c r="E26" s="205">
        <v>5.431952338797408E-3</v>
      </c>
      <c r="F26" s="267">
        <v>41081.2542968583</v>
      </c>
      <c r="G26" s="205">
        <v>5.5530812137466997E-3</v>
      </c>
      <c r="H26" s="267">
        <v>2421.87509533396</v>
      </c>
      <c r="I26" s="205">
        <v>3.0287705676694688E-3</v>
      </c>
      <c r="J26" s="267">
        <v>7447.44229171388</v>
      </c>
      <c r="K26" s="205">
        <v>7.5523254582910739E-3</v>
      </c>
      <c r="L26" s="267">
        <v>1394.450603279374</v>
      </c>
      <c r="M26" s="205">
        <v>3.0793028698396937E-3</v>
      </c>
      <c r="N26" s="8"/>
      <c r="O26" s="8"/>
    </row>
    <row r="27" spans="1:15" ht="15" customHeight="1">
      <c r="A27" s="162"/>
      <c r="B27" s="260"/>
      <c r="C27" s="183" t="s">
        <v>240</v>
      </c>
      <c r="D27" s="268">
        <v>138753.77647337242</v>
      </c>
      <c r="E27" s="206">
        <v>1.4398769313658709E-2</v>
      </c>
      <c r="F27" s="268">
        <v>113082.521120237</v>
      </c>
      <c r="G27" s="206">
        <v>1.5285716913563801E-2</v>
      </c>
      <c r="H27" s="268">
        <v>7096.4311963923801</v>
      </c>
      <c r="I27" s="206">
        <v>8.8747194207225936E-3</v>
      </c>
      <c r="J27" s="268">
        <v>14536.1510695863</v>
      </c>
      <c r="K27" s="206">
        <v>1.4740865318358521E-2</v>
      </c>
      <c r="L27" s="268">
        <v>4038.673087156722</v>
      </c>
      <c r="M27" s="206">
        <v>8.9184210601502781E-3</v>
      </c>
      <c r="N27" s="8"/>
      <c r="O27" s="8"/>
    </row>
    <row r="28" spans="1:15" ht="15" customHeight="1">
      <c r="A28" s="161"/>
      <c r="B28" s="259"/>
      <c r="C28" s="179" t="s">
        <v>241</v>
      </c>
      <c r="D28" s="267">
        <v>241380.81328031825</v>
      </c>
      <c r="E28" s="205">
        <v>2.5048591364528461E-2</v>
      </c>
      <c r="F28" s="267">
        <v>170735.11396552101</v>
      </c>
      <c r="G28" s="205">
        <v>2.3078797619899918E-2</v>
      </c>
      <c r="H28" s="267">
        <v>10162.532337127601</v>
      </c>
      <c r="I28" s="205">
        <v>1.2709152051227872E-2</v>
      </c>
      <c r="J28" s="267">
        <v>52663.433849577297</v>
      </c>
      <c r="K28" s="205">
        <v>5.3405098905662092E-2</v>
      </c>
      <c r="L28" s="267">
        <v>7819.733128092369</v>
      </c>
      <c r="M28" s="205">
        <v>1.7267966757723248E-2</v>
      </c>
      <c r="N28" s="8"/>
      <c r="O28" s="8"/>
    </row>
    <row r="29" spans="1:15" ht="15" customHeight="1">
      <c r="A29" s="162"/>
      <c r="B29" s="260"/>
      <c r="C29" s="183" t="s">
        <v>242</v>
      </c>
      <c r="D29" s="268">
        <v>41492.64079375584</v>
      </c>
      <c r="E29" s="206">
        <v>4.3057780349383687E-3</v>
      </c>
      <c r="F29" s="268">
        <v>32073.055055406501</v>
      </c>
      <c r="G29" s="206">
        <v>4.3354148392996377E-3</v>
      </c>
      <c r="H29" s="268">
        <v>1900.5514191060499</v>
      </c>
      <c r="I29" s="206">
        <v>2.3768088666591978E-3</v>
      </c>
      <c r="J29" s="268">
        <v>5957.0997055579001</v>
      </c>
      <c r="K29" s="206">
        <v>6.0409942100416933E-3</v>
      </c>
      <c r="L29" s="268">
        <v>1561.9346136853937</v>
      </c>
      <c r="M29" s="206">
        <v>3.4491503156241837E-3</v>
      </c>
      <c r="N29" s="8"/>
      <c r="O29" s="8"/>
    </row>
    <row r="30" spans="1:15" ht="15" customHeight="1">
      <c r="A30" s="161"/>
      <c r="B30" s="259"/>
      <c r="C30" s="179" t="s">
        <v>243</v>
      </c>
      <c r="D30" s="267">
        <v>65715.493168164801</v>
      </c>
      <c r="E30" s="205">
        <v>6.8194340400047054E-3</v>
      </c>
      <c r="F30" s="267">
        <v>53215.495136010897</v>
      </c>
      <c r="G30" s="205">
        <v>7.1933043763615125E-3</v>
      </c>
      <c r="H30" s="267">
        <v>3296.0750415257999</v>
      </c>
      <c r="I30" s="205">
        <v>4.122035481448588E-3</v>
      </c>
      <c r="J30" s="267">
        <v>7874.3548923865301</v>
      </c>
      <c r="K30" s="205">
        <v>7.9852503170862298E-3</v>
      </c>
      <c r="L30" s="267">
        <v>1329.5680982415699</v>
      </c>
      <c r="M30" s="205">
        <v>2.9360257372575576E-3</v>
      </c>
      <c r="N30" s="8"/>
      <c r="O30" s="8"/>
    </row>
    <row r="31" spans="1:15" ht="15" customHeight="1">
      <c r="A31" s="162"/>
      <c r="B31" s="260" t="s">
        <v>97</v>
      </c>
      <c r="C31" s="183"/>
      <c r="D31" s="114">
        <v>189328.53411827495</v>
      </c>
      <c r="E31" s="137">
        <v>1.9647017591520155E-2</v>
      </c>
      <c r="F31" s="114">
        <v>149641.42454996699</v>
      </c>
      <c r="G31" s="137">
        <v>2.0227497862212659E-2</v>
      </c>
      <c r="H31" s="114">
        <v>8001.75977969209</v>
      </c>
      <c r="I31" s="137">
        <v>1.0006913468405284E-2</v>
      </c>
      <c r="J31" s="114">
        <v>25434.7021788153</v>
      </c>
      <c r="K31" s="137">
        <v>2.5792901947402979E-2</v>
      </c>
      <c r="L31" s="114">
        <v>7999.8419056444109</v>
      </c>
      <c r="M31" s="137">
        <v>1.7665692911876738E-2</v>
      </c>
      <c r="N31" s="8"/>
      <c r="O31" s="8"/>
    </row>
    <row r="32" spans="1:15" ht="15" customHeight="1">
      <c r="A32" s="161"/>
      <c r="B32" s="259"/>
      <c r="C32" s="179" t="s">
        <v>244</v>
      </c>
      <c r="D32" s="267">
        <v>34181.395411553058</v>
      </c>
      <c r="E32" s="205">
        <v>3.5470748246218351E-3</v>
      </c>
      <c r="F32" s="267">
        <v>23722.7920183358</v>
      </c>
      <c r="G32" s="205">
        <v>3.2066837527089608E-3</v>
      </c>
      <c r="H32" s="267">
        <v>2552.59799656935</v>
      </c>
      <c r="I32" s="205">
        <v>3.1922512015572029E-3</v>
      </c>
      <c r="J32" s="267">
        <v>4553.8688006620596</v>
      </c>
      <c r="K32" s="205">
        <v>4.618001446647371E-3</v>
      </c>
      <c r="L32" s="267">
        <v>3352.1365959858385</v>
      </c>
      <c r="M32" s="205">
        <v>7.4023732470972475E-3</v>
      </c>
      <c r="N32" s="8"/>
      <c r="O32" s="8"/>
    </row>
    <row r="33" spans="1:15" ht="15" customHeight="1">
      <c r="A33" s="162"/>
      <c r="B33" s="260"/>
      <c r="C33" s="183" t="s">
        <v>245</v>
      </c>
      <c r="D33" s="268">
        <v>45613.546271030646</v>
      </c>
      <c r="E33" s="206">
        <v>4.7334130070362948E-3</v>
      </c>
      <c r="F33" s="268">
        <v>34778.765014507699</v>
      </c>
      <c r="G33" s="206">
        <v>4.7011540894977806E-3</v>
      </c>
      <c r="H33" s="268">
        <v>1908.0876665446101</v>
      </c>
      <c r="I33" s="206">
        <v>2.3862336154732719E-3</v>
      </c>
      <c r="J33" s="268">
        <v>6748.0327217376998</v>
      </c>
      <c r="K33" s="206">
        <v>6.8430660247563516E-3</v>
      </c>
      <c r="L33" s="268">
        <v>2178.6608682406354</v>
      </c>
      <c r="M33" s="206">
        <v>4.8110393069525949E-3</v>
      </c>
      <c r="N33" s="8"/>
      <c r="O33" s="8"/>
    </row>
    <row r="34" spans="1:15" ht="15" customHeight="1">
      <c r="A34" s="161"/>
      <c r="B34" s="259"/>
      <c r="C34" s="179" t="s">
        <v>246</v>
      </c>
      <c r="D34" s="267">
        <v>88725.596530560782</v>
      </c>
      <c r="E34" s="205">
        <v>9.2072405460291648E-3</v>
      </c>
      <c r="F34" s="267">
        <v>69270.573347346202</v>
      </c>
      <c r="G34" s="205">
        <v>9.3635193497494645E-3</v>
      </c>
      <c r="H34" s="267">
        <v>4411.1977050614496</v>
      </c>
      <c r="I34" s="205">
        <v>5.5165957166832761E-3</v>
      </c>
      <c r="J34" s="267">
        <v>12574.781036735199</v>
      </c>
      <c r="K34" s="205">
        <v>1.2751873090958304E-2</v>
      </c>
      <c r="L34" s="267">
        <v>2469.044441417936</v>
      </c>
      <c r="M34" s="205">
        <v>5.4522803578268943E-3</v>
      </c>
      <c r="N34" s="8"/>
      <c r="O34" s="8"/>
    </row>
    <row r="35" spans="1:15" ht="15" customHeight="1">
      <c r="A35" s="162"/>
      <c r="B35" s="260" t="s">
        <v>98</v>
      </c>
      <c r="C35" s="183"/>
      <c r="D35" s="114">
        <v>148222.21835808965</v>
      </c>
      <c r="E35" s="137">
        <v>1.5381329312549914E-2</v>
      </c>
      <c r="F35" s="114">
        <v>114005.37636776701</v>
      </c>
      <c r="G35" s="137">
        <v>1.5410462134365357E-2</v>
      </c>
      <c r="H35" s="114">
        <v>9343.5391765180993</v>
      </c>
      <c r="I35" s="137">
        <v>1.1684928141103142E-2</v>
      </c>
      <c r="J35" s="114">
        <v>19907.4458771514</v>
      </c>
      <c r="K35" s="137">
        <v>2.0187804674208859E-2</v>
      </c>
      <c r="L35" s="114">
        <v>11966.832357796198</v>
      </c>
      <c r="M35" s="137">
        <v>2.6425820416723398E-2</v>
      </c>
      <c r="N35" s="8"/>
      <c r="O35" s="8"/>
    </row>
    <row r="36" spans="1:15" ht="15" customHeight="1">
      <c r="A36" s="161"/>
      <c r="B36" s="259"/>
      <c r="C36" s="179" t="s">
        <v>247</v>
      </c>
      <c r="D36" s="267">
        <v>85781.577257691213</v>
      </c>
      <c r="E36" s="205">
        <v>8.9017335144915468E-3</v>
      </c>
      <c r="F36" s="267">
        <v>68554.549175313805</v>
      </c>
      <c r="G36" s="205">
        <v>9.2667321302169377E-3</v>
      </c>
      <c r="H36" s="267">
        <v>5389.9677214591502</v>
      </c>
      <c r="I36" s="205">
        <v>6.7406348192340787E-3</v>
      </c>
      <c r="J36" s="267">
        <v>9175.6145902051703</v>
      </c>
      <c r="K36" s="205">
        <v>9.3048358014367581E-3</v>
      </c>
      <c r="L36" s="267">
        <v>2661.4457707130932</v>
      </c>
      <c r="M36" s="205">
        <v>5.8771516039407678E-3</v>
      </c>
      <c r="N36" s="8"/>
      <c r="O36" s="8"/>
    </row>
    <row r="37" spans="1:15" ht="15" customHeight="1">
      <c r="A37" s="162"/>
      <c r="B37" s="260"/>
      <c r="C37" s="183" t="s">
        <v>248</v>
      </c>
      <c r="D37" s="268">
        <v>60800.09507326295</v>
      </c>
      <c r="E37" s="206">
        <v>6.3093529088661124E-3</v>
      </c>
      <c r="F37" s="268">
        <v>46938.204413309402</v>
      </c>
      <c r="G37" s="206">
        <v>6.344783419976646E-3</v>
      </c>
      <c r="H37" s="268">
        <v>3260.4380565962001</v>
      </c>
      <c r="I37" s="206">
        <v>4.0774682569524922E-3</v>
      </c>
      <c r="J37" s="268">
        <v>8309.0467612465509</v>
      </c>
      <c r="K37" s="206">
        <v>8.4260640003767061E-3</v>
      </c>
      <c r="L37" s="268">
        <v>2292.4058421108025</v>
      </c>
      <c r="M37" s="206">
        <v>5.0622172430118146E-3</v>
      </c>
      <c r="N37" s="8"/>
      <c r="O37" s="8"/>
    </row>
    <row r="38" spans="1:15" ht="15" customHeight="1">
      <c r="A38" s="161"/>
      <c r="B38" s="259"/>
      <c r="C38" s="179" t="s">
        <v>249</v>
      </c>
      <c r="D38" s="267">
        <v>91369.965560058685</v>
      </c>
      <c r="E38" s="205">
        <v>9.4816522456864401E-3</v>
      </c>
      <c r="F38" s="267">
        <v>73781.405238600899</v>
      </c>
      <c r="G38" s="205">
        <v>9.973262558968167E-3</v>
      </c>
      <c r="H38" s="267">
        <v>3671.7970178135201</v>
      </c>
      <c r="I38" s="205">
        <v>4.5919092852625435E-3</v>
      </c>
      <c r="J38" s="267">
        <v>11239.2271653637</v>
      </c>
      <c r="K38" s="205">
        <v>1.1397510464355531E-2</v>
      </c>
      <c r="L38" s="267">
        <v>2677.5361382805741</v>
      </c>
      <c r="M38" s="205">
        <v>5.9126832426455002E-3</v>
      </c>
      <c r="N38" s="8"/>
      <c r="O38" s="8"/>
    </row>
    <row r="39" spans="1:15" ht="15" customHeight="1">
      <c r="A39" s="162"/>
      <c r="B39" s="260"/>
      <c r="C39" s="183" t="s">
        <v>250</v>
      </c>
      <c r="D39" s="268">
        <v>135361.30792159805</v>
      </c>
      <c r="E39" s="206">
        <v>1.4046725763404672E-2</v>
      </c>
      <c r="F39" s="268">
        <v>109767.36289025399</v>
      </c>
      <c r="G39" s="206">
        <v>1.4837596640641068E-2</v>
      </c>
      <c r="H39" s="268">
        <v>6659.81257335382</v>
      </c>
      <c r="I39" s="206">
        <v>8.3286889349624641E-3</v>
      </c>
      <c r="J39" s="268">
        <v>14598.6878512985</v>
      </c>
      <c r="K39" s="206">
        <v>1.4804282812594109E-2</v>
      </c>
      <c r="L39" s="268">
        <v>4335.4446066917289</v>
      </c>
      <c r="M39" s="206">
        <v>9.573768327125318E-3</v>
      </c>
      <c r="N39" s="8"/>
      <c r="O39" s="8"/>
    </row>
    <row r="40" spans="1:15" ht="15" customHeight="1">
      <c r="A40" s="161"/>
      <c r="B40" s="259" t="s">
        <v>99</v>
      </c>
      <c r="C40" s="179"/>
      <c r="D40" s="116">
        <v>459023.3875122444</v>
      </c>
      <c r="E40" s="139">
        <v>4.7633816061441382E-2</v>
      </c>
      <c r="F40" s="116">
        <v>360029.26834688999</v>
      </c>
      <c r="G40" s="139">
        <v>4.8666278590451389E-2</v>
      </c>
      <c r="H40" s="116">
        <v>20913.949863473499</v>
      </c>
      <c r="I40" s="139">
        <v>2.615475749440695E-2</v>
      </c>
      <c r="J40" s="116">
        <v>60384.5153240168</v>
      </c>
      <c r="K40" s="139">
        <v>6.1234917238034786E-2</v>
      </c>
      <c r="L40" s="116">
        <v>16385.81353055306</v>
      </c>
      <c r="M40" s="139">
        <v>3.6184058804685559E-2</v>
      </c>
      <c r="N40" s="8"/>
      <c r="O40" s="8"/>
    </row>
    <row r="41" spans="1:15" ht="15" customHeight="1">
      <c r="A41" s="162"/>
      <c r="B41" s="260"/>
      <c r="C41" s="183" t="s">
        <v>251</v>
      </c>
      <c r="D41" s="268">
        <v>103179.50640666322</v>
      </c>
      <c r="E41" s="206">
        <v>1.0707152975629604E-2</v>
      </c>
      <c r="F41" s="268">
        <v>82551.838806611297</v>
      </c>
      <c r="G41" s="206">
        <v>1.1158789406103809E-2</v>
      </c>
      <c r="H41" s="268">
        <v>4943.7274175718003</v>
      </c>
      <c r="I41" s="206">
        <v>6.1825715643924768E-3</v>
      </c>
      <c r="J41" s="268">
        <v>12389.4774755704</v>
      </c>
      <c r="K41" s="206">
        <v>1.2563959878921201E-2</v>
      </c>
      <c r="L41" s="268">
        <v>3294.4627069097101</v>
      </c>
      <c r="M41" s="206">
        <v>7.2750145785798522E-3</v>
      </c>
      <c r="N41" s="8"/>
      <c r="O41" s="8"/>
    </row>
    <row r="42" spans="1:15" ht="15" customHeight="1">
      <c r="A42" s="161"/>
      <c r="B42" s="259"/>
      <c r="C42" s="179" t="s">
        <v>252</v>
      </c>
      <c r="D42" s="267">
        <v>90914.2071391645</v>
      </c>
      <c r="E42" s="205">
        <v>9.4343572420331739E-3</v>
      </c>
      <c r="F42" s="267">
        <v>69071.362782176802</v>
      </c>
      <c r="G42" s="205">
        <v>9.3365914366183751E-3</v>
      </c>
      <c r="H42" s="267">
        <v>3782.8361324038501</v>
      </c>
      <c r="I42" s="205">
        <v>4.7307735903537578E-3</v>
      </c>
      <c r="J42" s="267">
        <v>11896.873780572299</v>
      </c>
      <c r="K42" s="205">
        <v>1.206441879073826E-2</v>
      </c>
      <c r="L42" s="267">
        <v>6163.1344440115381</v>
      </c>
      <c r="M42" s="205">
        <v>1.3609774011371256E-2</v>
      </c>
      <c r="N42" s="8"/>
      <c r="O42" s="8"/>
    </row>
    <row r="43" spans="1:15" ht="15" customHeight="1">
      <c r="A43" s="162"/>
      <c r="B43" s="260"/>
      <c r="C43" s="183" t="s">
        <v>253</v>
      </c>
      <c r="D43" s="268">
        <v>72007.16368592545</v>
      </c>
      <c r="E43" s="206">
        <v>7.472333836214348E-3</v>
      </c>
      <c r="F43" s="268">
        <v>56621.935118731803</v>
      </c>
      <c r="G43" s="206">
        <v>7.6537634883718708E-3</v>
      </c>
      <c r="H43" s="268">
        <v>3483.4273735104198</v>
      </c>
      <c r="I43" s="206">
        <v>4.3563362635130774E-3</v>
      </c>
      <c r="J43" s="268">
        <v>9893.7659374259692</v>
      </c>
      <c r="K43" s="206">
        <v>1.0033100954770831E-2</v>
      </c>
      <c r="L43" s="268">
        <v>2008.0352562572548</v>
      </c>
      <c r="M43" s="206">
        <v>4.4342544029818418E-3</v>
      </c>
      <c r="N43" s="8"/>
      <c r="O43" s="8"/>
    </row>
    <row r="44" spans="1:15" ht="15" customHeight="1">
      <c r="A44" s="161"/>
      <c r="B44" s="259"/>
      <c r="C44" s="179" t="s">
        <v>254</v>
      </c>
      <c r="D44" s="267">
        <v>46368.243072065328</v>
      </c>
      <c r="E44" s="205">
        <v>4.8117294710349522E-3</v>
      </c>
      <c r="F44" s="267">
        <v>34790.214568000898</v>
      </c>
      <c r="G44" s="205">
        <v>4.7027017613373362E-3</v>
      </c>
      <c r="H44" s="267">
        <v>3307.6193987882298</v>
      </c>
      <c r="I44" s="205">
        <v>4.1364727286734649E-3</v>
      </c>
      <c r="J44" s="267">
        <v>6673.9849267289601</v>
      </c>
      <c r="K44" s="205">
        <v>6.7679754063306096E-3</v>
      </c>
      <c r="L44" s="267">
        <v>1596.4241785472398</v>
      </c>
      <c r="M44" s="205">
        <v>3.525312078406488E-3</v>
      </c>
      <c r="N44" s="8"/>
      <c r="O44" s="8"/>
    </row>
    <row r="45" spans="1:15" ht="15" customHeight="1">
      <c r="A45" s="162"/>
      <c r="B45" s="260"/>
      <c r="C45" s="183" t="s">
        <v>255</v>
      </c>
      <c r="D45" s="268">
        <v>99030.408216423457</v>
      </c>
      <c r="E45" s="206">
        <v>1.027659238679802E-2</v>
      </c>
      <c r="F45" s="268">
        <v>79458.5816444909</v>
      </c>
      <c r="G45" s="206">
        <v>1.0740664192298644E-2</v>
      </c>
      <c r="H45" s="268">
        <v>5611.3628964541504</v>
      </c>
      <c r="I45" s="206">
        <v>7.0175092093051417E-3</v>
      </c>
      <c r="J45" s="268">
        <v>10636.7067306511</v>
      </c>
      <c r="K45" s="206">
        <v>1.0786504666662618E-2</v>
      </c>
      <c r="L45" s="268">
        <v>3323.7569448273148</v>
      </c>
      <c r="M45" s="206">
        <v>7.3397037333461142E-3</v>
      </c>
      <c r="N45" s="8"/>
      <c r="O45" s="8"/>
    </row>
    <row r="46" spans="1:15" ht="15" customHeight="1">
      <c r="A46" s="161"/>
      <c r="B46" s="259" t="s">
        <v>100</v>
      </c>
      <c r="C46" s="179"/>
      <c r="D46" s="116">
        <v>517808.77157522831</v>
      </c>
      <c r="E46" s="139">
        <v>5.3734098198988611E-2</v>
      </c>
      <c r="F46" s="116">
        <v>418585.67748107901</v>
      </c>
      <c r="G46" s="139">
        <v>5.6581530962197937E-2</v>
      </c>
      <c r="H46" s="116">
        <v>25610.092511613799</v>
      </c>
      <c r="I46" s="139">
        <v>3.2027702247696702E-2</v>
      </c>
      <c r="J46" s="116">
        <v>54448.519635971701</v>
      </c>
      <c r="K46" s="139">
        <v>5.5215324255755739E-2</v>
      </c>
      <c r="L46" s="116">
        <v>13410.898805867591</v>
      </c>
      <c r="M46" s="139">
        <v>2.9614687736460626E-2</v>
      </c>
      <c r="N46" s="8"/>
      <c r="O46" s="8"/>
    </row>
    <row r="47" spans="1:15" ht="15" customHeight="1">
      <c r="A47" s="162"/>
      <c r="B47" s="260"/>
      <c r="C47" s="183" t="s">
        <v>256</v>
      </c>
      <c r="D47" s="268">
        <v>41389.733305913214</v>
      </c>
      <c r="E47" s="206">
        <v>4.2950991098975174E-3</v>
      </c>
      <c r="F47" s="268">
        <v>33265.9029050276</v>
      </c>
      <c r="G47" s="206">
        <v>4.4966558018253522E-3</v>
      </c>
      <c r="H47" s="268">
        <v>2121.5901234321</v>
      </c>
      <c r="I47" s="206">
        <v>2.6532374584013405E-3</v>
      </c>
      <c r="J47" s="268">
        <v>4758.4850598130997</v>
      </c>
      <c r="K47" s="206">
        <v>4.8254993395663989E-3</v>
      </c>
      <c r="L47" s="268">
        <v>1243.7552176404165</v>
      </c>
      <c r="M47" s="206">
        <v>2.7465289928889068E-3</v>
      </c>
      <c r="N47" s="8"/>
      <c r="O47" s="8"/>
    </row>
    <row r="48" spans="1:15" ht="15" customHeight="1">
      <c r="A48" s="161"/>
      <c r="B48" s="259"/>
      <c r="C48" s="179" t="s">
        <v>257</v>
      </c>
      <c r="D48" s="267">
        <v>248798.73476192204</v>
      </c>
      <c r="E48" s="205">
        <v>2.5818364576581855E-2</v>
      </c>
      <c r="F48" s="267">
        <v>201628.06473366899</v>
      </c>
      <c r="G48" s="205">
        <v>2.7254694083726331E-2</v>
      </c>
      <c r="H48" s="267">
        <v>16397.514200453399</v>
      </c>
      <c r="I48" s="205">
        <v>2.0506552335816084E-2</v>
      </c>
      <c r="J48" s="267">
        <v>23432.216270654899</v>
      </c>
      <c r="K48" s="205">
        <v>2.3762214805201763E-2</v>
      </c>
      <c r="L48" s="267">
        <v>7340.9395571447103</v>
      </c>
      <c r="M48" s="205">
        <v>1.6210668339541462E-2</v>
      </c>
      <c r="N48" s="8"/>
      <c r="O48" s="8"/>
    </row>
    <row r="49" spans="1:16" ht="15" customHeight="1">
      <c r="A49" s="162"/>
      <c r="B49" s="260"/>
      <c r="C49" s="183" t="s">
        <v>258</v>
      </c>
      <c r="D49" s="268">
        <v>112506.63878442606</v>
      </c>
      <c r="E49" s="206">
        <v>1.1675048991714881E-2</v>
      </c>
      <c r="F49" s="268">
        <v>89853.429400017005</v>
      </c>
      <c r="G49" s="206">
        <v>1.2145768169257389E-2</v>
      </c>
      <c r="H49" s="268">
        <v>5362.9213430973996</v>
      </c>
      <c r="I49" s="206">
        <v>6.7068109135743912E-3</v>
      </c>
      <c r="J49" s="268">
        <v>12464.0840102292</v>
      </c>
      <c r="K49" s="206">
        <v>1.2639617105790276E-2</v>
      </c>
      <c r="L49" s="268">
        <v>4826.204031082465</v>
      </c>
      <c r="M49" s="206">
        <v>1.0657490404030259E-2</v>
      </c>
      <c r="N49" s="8"/>
      <c r="O49" s="8"/>
    </row>
    <row r="50" spans="1:16" ht="15" customHeight="1">
      <c r="A50" s="161"/>
      <c r="B50" s="259" t="s">
        <v>259</v>
      </c>
      <c r="C50" s="179"/>
      <c r="D50" s="116">
        <v>114256.62357535399</v>
      </c>
      <c r="E50" s="139">
        <v>1.1856648570100542E-2</v>
      </c>
      <c r="F50" s="116">
        <v>94913.126765199093</v>
      </c>
      <c r="G50" s="139">
        <v>1.2829703235670028E-2</v>
      </c>
      <c r="H50" s="116">
        <v>8950.1343931680203</v>
      </c>
      <c r="I50" s="139">
        <v>1.1192940411724887E-2</v>
      </c>
      <c r="J50" s="116">
        <v>6140.3847528102597</v>
      </c>
      <c r="K50" s="139">
        <v>6.2268604812081296E-3</v>
      </c>
      <c r="L50" s="116">
        <v>4252.9776641766175</v>
      </c>
      <c r="M50" s="139">
        <v>9.3916602681116193E-3</v>
      </c>
      <c r="N50" s="8"/>
      <c r="O50" s="8"/>
    </row>
    <row r="51" spans="1:16" ht="15" customHeight="1">
      <c r="A51" s="162"/>
      <c r="B51" s="260" t="s">
        <v>260</v>
      </c>
      <c r="C51" s="183"/>
      <c r="D51" s="114">
        <v>202546.76255764498</v>
      </c>
      <c r="E51" s="137">
        <v>2.1018700776447786E-2</v>
      </c>
      <c r="F51" s="114">
        <v>161828.34341905901</v>
      </c>
      <c r="G51" s="137">
        <v>2.1874841678357668E-2</v>
      </c>
      <c r="H51" s="114">
        <v>15719.0409899606</v>
      </c>
      <c r="I51" s="137">
        <v>1.9658061142008486E-2</v>
      </c>
      <c r="J51" s="114">
        <v>18459.925916375902</v>
      </c>
      <c r="K51" s="137">
        <v>1.8719899127184674E-2</v>
      </c>
      <c r="L51" s="114">
        <v>6539.4522322494595</v>
      </c>
      <c r="M51" s="137">
        <v>1.4440779744071704E-2</v>
      </c>
      <c r="N51" s="8"/>
      <c r="O51" s="8"/>
    </row>
    <row r="52" spans="1:16" ht="15" customHeight="1">
      <c r="A52" s="161"/>
      <c r="B52" s="259" t="s">
        <v>261</v>
      </c>
      <c r="C52" s="179"/>
      <c r="D52" s="116">
        <v>1178095.8982148995</v>
      </c>
      <c r="E52" s="139">
        <v>0.12225347301461884</v>
      </c>
      <c r="F52" s="116">
        <v>862870.22821682901</v>
      </c>
      <c r="G52" s="139">
        <v>0.11663685873823572</v>
      </c>
      <c r="H52" s="116">
        <v>143468.54983127501</v>
      </c>
      <c r="I52" s="139">
        <v>0.17942020294620814</v>
      </c>
      <c r="J52" s="116">
        <v>92595.284666599502</v>
      </c>
      <c r="K52" s="139">
        <v>9.3899314464420819E-2</v>
      </c>
      <c r="L52" s="116">
        <v>79161.835500195899</v>
      </c>
      <c r="M52" s="139">
        <v>0.17480953908604946</v>
      </c>
      <c r="N52" s="8"/>
      <c r="O52" s="8"/>
    </row>
    <row r="53" spans="1:16" ht="15" customHeight="1">
      <c r="A53" s="162"/>
      <c r="B53" s="260" t="s">
        <v>105</v>
      </c>
      <c r="C53" s="183"/>
      <c r="D53" s="114">
        <v>316043.39067963994</v>
      </c>
      <c r="E53" s="137">
        <v>3.2796483030326326E-2</v>
      </c>
      <c r="F53" s="114">
        <v>250257.83524587701</v>
      </c>
      <c r="G53" s="137">
        <v>3.3828131766733181E-2</v>
      </c>
      <c r="H53" s="114">
        <v>16571.682313369602</v>
      </c>
      <c r="I53" s="137">
        <v>2.072436507737466E-2</v>
      </c>
      <c r="J53" s="114">
        <v>41191.785262560799</v>
      </c>
      <c r="K53" s="137">
        <v>4.1771893802658118E-2</v>
      </c>
      <c r="L53" s="114">
        <v>8022.0878578325101</v>
      </c>
      <c r="M53" s="137">
        <v>1.7714817652655673E-2</v>
      </c>
      <c r="N53" s="8"/>
      <c r="O53" s="8"/>
    </row>
    <row r="54" spans="1:16" ht="15" customHeight="1">
      <c r="A54" s="161"/>
      <c r="B54" s="259" t="s">
        <v>53</v>
      </c>
      <c r="C54" s="172"/>
      <c r="D54" s="116">
        <v>210304.19040063483</v>
      </c>
      <c r="E54" s="139">
        <v>2.1823705273028095E-2</v>
      </c>
      <c r="F54" s="116">
        <v>162130.93525007</v>
      </c>
      <c r="G54" s="139">
        <v>2.1915743959482734E-2</v>
      </c>
      <c r="H54" s="116">
        <v>12734.5524928457</v>
      </c>
      <c r="I54" s="139">
        <v>1.5925692393089486E-2</v>
      </c>
      <c r="J54" s="116">
        <v>26958.619800965502</v>
      </c>
      <c r="K54" s="139">
        <v>2.7338281072650926E-2</v>
      </c>
      <c r="L54" s="116">
        <v>8480.0828567536428</v>
      </c>
      <c r="M54" s="139">
        <v>1.872618751490351E-2</v>
      </c>
      <c r="N54" s="8"/>
      <c r="O54" s="8"/>
    </row>
    <row r="55" spans="1:16" ht="15" customHeight="1">
      <c r="A55" s="162"/>
      <c r="B55" s="260" t="s">
        <v>50</v>
      </c>
      <c r="C55" s="169"/>
      <c r="D55" s="114">
        <v>241380.81328031825</v>
      </c>
      <c r="E55" s="137">
        <v>2.5048591364528461E-2</v>
      </c>
      <c r="F55" s="114">
        <v>170735.11396552101</v>
      </c>
      <c r="G55" s="137">
        <v>2.3078797619899918E-2</v>
      </c>
      <c r="H55" s="114">
        <v>10162.532337127601</v>
      </c>
      <c r="I55" s="137">
        <v>1.2709152051227872E-2</v>
      </c>
      <c r="J55" s="114">
        <v>52663.433849577297</v>
      </c>
      <c r="K55" s="137">
        <v>5.3405098905662092E-2</v>
      </c>
      <c r="L55" s="114">
        <v>7819.733128092369</v>
      </c>
      <c r="M55" s="137">
        <v>1.7267966757723248E-2</v>
      </c>
      <c r="N55" s="8"/>
      <c r="O55" s="8"/>
    </row>
    <row r="56" spans="1:16" ht="15" customHeight="1">
      <c r="A56" s="161" t="s">
        <v>55</v>
      </c>
      <c r="B56" s="259"/>
      <c r="C56" s="179"/>
      <c r="D56" s="116">
        <v>3564518.6565832994</v>
      </c>
      <c r="E56" s="139">
        <v>0.36989754913247391</v>
      </c>
      <c r="F56" s="116">
        <v>2667763.1297480613</v>
      </c>
      <c r="G56" s="139">
        <v>0.36060985897558118</v>
      </c>
      <c r="H56" s="116">
        <v>390121.24533324077</v>
      </c>
      <c r="I56" s="139">
        <v>0.48788137256308295</v>
      </c>
      <c r="J56" s="116">
        <v>331937.85521163046</v>
      </c>
      <c r="K56" s="139">
        <v>0.33661257332259498</v>
      </c>
      <c r="L56" s="116">
        <v>174696.42629036718</v>
      </c>
      <c r="M56" s="139">
        <v>0.38577430104843297</v>
      </c>
      <c r="N56" s="8"/>
      <c r="O56" s="8"/>
    </row>
    <row r="57" spans="1:16" ht="15" customHeight="1">
      <c r="A57" s="233" t="s">
        <v>305</v>
      </c>
      <c r="B57" s="271"/>
      <c r="C57" s="272"/>
      <c r="D57" s="275">
        <v>4.47</v>
      </c>
      <c r="E57" s="276"/>
      <c r="F57" s="275">
        <v>4.47</v>
      </c>
      <c r="G57" s="276"/>
      <c r="H57" s="275"/>
      <c r="I57" s="276"/>
      <c r="J57" s="275"/>
      <c r="K57" s="276"/>
      <c r="L57" s="275"/>
      <c r="M57" s="276"/>
      <c r="N57" s="8"/>
      <c r="O57" s="8"/>
    </row>
    <row r="58" spans="1:16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0"/>
      <c r="O58" s="40"/>
      <c r="P58" s="44"/>
    </row>
    <row r="59" spans="1:16">
      <c r="A59" s="44"/>
      <c r="B59" s="44"/>
      <c r="C59" s="44"/>
      <c r="D59" s="44"/>
      <c r="E59" s="44"/>
      <c r="F59" s="56"/>
      <c r="G59" s="44"/>
      <c r="H59" s="44"/>
      <c r="I59" s="44"/>
      <c r="J59" s="44"/>
      <c r="K59" s="44"/>
      <c r="L59" s="44"/>
      <c r="M59" s="44"/>
      <c r="N59" s="40"/>
      <c r="O59" s="40"/>
      <c r="P59" s="44"/>
    </row>
    <row r="60" spans="1:16" s="10" customFormat="1">
      <c r="A60" s="38" t="s">
        <v>129</v>
      </c>
      <c r="B60" s="38" t="s">
        <v>142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40"/>
      <c r="O60" s="40"/>
      <c r="P60" s="38"/>
    </row>
    <row r="61" spans="1:16" s="10" customFormat="1">
      <c r="A61" s="38"/>
      <c r="B61" s="38" t="s">
        <v>66</v>
      </c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40"/>
      <c r="O61" s="40"/>
      <c r="P61" s="38"/>
    </row>
    <row r="62" spans="1:16" s="10" customFormat="1">
      <c r="A62" s="38"/>
      <c r="B62" s="38" t="s">
        <v>67</v>
      </c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40"/>
      <c r="O62" s="40"/>
      <c r="P62" s="38"/>
    </row>
    <row r="63" spans="1:16" s="10" customFormat="1">
      <c r="A63" s="38"/>
      <c r="B63" s="38" t="s">
        <v>74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40"/>
      <c r="O63" s="40"/>
      <c r="P63" s="38"/>
    </row>
    <row r="64" spans="1:16" s="10" customFormat="1">
      <c r="A64" s="38"/>
      <c r="B64" s="38" t="s">
        <v>68</v>
      </c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40"/>
      <c r="O64" s="40"/>
      <c r="P64" s="38"/>
    </row>
    <row r="65" spans="1:16" s="10" customFormat="1">
      <c r="A65" s="38"/>
      <c r="B65" s="38" t="s">
        <v>69</v>
      </c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40"/>
      <c r="O65" s="40"/>
      <c r="P65" s="38"/>
    </row>
    <row r="66" spans="1:16" s="10" customFormat="1">
      <c r="A66" s="38"/>
      <c r="B66" s="38" t="s">
        <v>70</v>
      </c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40"/>
      <c r="O66" s="40"/>
      <c r="P66" s="38"/>
    </row>
    <row r="67" spans="1:16" s="10" customFormat="1">
      <c r="A67" s="38"/>
      <c r="B67" s="38" t="s">
        <v>71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40"/>
      <c r="O67" s="40"/>
      <c r="P67" s="38"/>
    </row>
    <row r="68" spans="1:16" s="10" customFormat="1">
      <c r="A68" s="38"/>
      <c r="B68" s="38" t="s">
        <v>72</v>
      </c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40"/>
      <c r="O68" s="40"/>
      <c r="P68" s="38"/>
    </row>
    <row r="69" spans="1:16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0"/>
      <c r="O69" s="40"/>
      <c r="P69" s="44"/>
    </row>
    <row r="70" spans="1:16">
      <c r="A70" s="48" t="s">
        <v>127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0"/>
      <c r="O70" s="40"/>
      <c r="P70" s="44"/>
    </row>
    <row r="71" spans="1:16">
      <c r="A71" s="38" t="s">
        <v>37</v>
      </c>
      <c r="B71" s="39" t="s">
        <v>52</v>
      </c>
      <c r="C71" s="39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0"/>
      <c r="O71" s="40"/>
      <c r="P71" s="44"/>
    </row>
    <row r="72" spans="1:16">
      <c r="A72" s="38" t="s">
        <v>42</v>
      </c>
      <c r="B72" s="39" t="s">
        <v>43</v>
      </c>
      <c r="C72" s="39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0"/>
      <c r="O72" s="40"/>
      <c r="P72" s="44"/>
    </row>
    <row r="73" spans="1:16">
      <c r="A73" s="38" t="s">
        <v>38</v>
      </c>
      <c r="B73" s="39" t="s">
        <v>44</v>
      </c>
      <c r="C73" s="39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0"/>
      <c r="O73" s="40"/>
      <c r="P73" s="44"/>
    </row>
    <row r="74" spans="1:16">
      <c r="A74" s="38" t="s">
        <v>48</v>
      </c>
      <c r="B74" s="39" t="s">
        <v>49</v>
      </c>
      <c r="C74" s="39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0"/>
      <c r="O74" s="40"/>
      <c r="P74" s="44"/>
    </row>
    <row r="75" spans="1:16">
      <c r="A75" s="38" t="s">
        <v>1</v>
      </c>
      <c r="B75" s="39" t="s">
        <v>46</v>
      </c>
      <c r="C75" s="39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0"/>
      <c r="O75" s="40"/>
      <c r="P75" s="44"/>
    </row>
    <row r="76" spans="1:16">
      <c r="A76" s="42"/>
      <c r="B76" s="39" t="s">
        <v>45</v>
      </c>
      <c r="C76" s="39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0"/>
      <c r="O76" s="40"/>
      <c r="P76" s="44"/>
    </row>
    <row r="77" spans="1:16">
      <c r="A77" s="38"/>
      <c r="B77" s="39" t="s">
        <v>47</v>
      </c>
      <c r="C77" s="39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0"/>
      <c r="O77" s="40"/>
      <c r="P77" s="44"/>
    </row>
    <row r="78" spans="1:16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0"/>
      <c r="O78" s="40"/>
      <c r="P78" s="44"/>
    </row>
    <row r="79" spans="1:16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0"/>
      <c r="O79" s="40"/>
      <c r="P79" s="44"/>
    </row>
    <row r="80" spans="1:16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0"/>
      <c r="O80" s="40"/>
      <c r="P80" s="44"/>
    </row>
  </sheetData>
  <mergeCells count="11">
    <mergeCell ref="A2:M2"/>
    <mergeCell ref="A1:M1"/>
    <mergeCell ref="H4:I4"/>
    <mergeCell ref="J4:K4"/>
    <mergeCell ref="L4:M4"/>
    <mergeCell ref="F4:G4"/>
    <mergeCell ref="A6:B6"/>
    <mergeCell ref="A4:A5"/>
    <mergeCell ref="B4:B5"/>
    <mergeCell ref="C4:C5"/>
    <mergeCell ref="D4:E4"/>
  </mergeCells>
  <hyperlinks>
    <hyperlink ref="O1" location="INDICE!Área_de_impresión" display="INDICE"/>
  </hyperlink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1"/>
  <dimension ref="A1:AJ71"/>
  <sheetViews>
    <sheetView showGridLines="0" zoomScaleNormal="100" workbookViewId="0">
      <selection sqref="A1:K1"/>
    </sheetView>
  </sheetViews>
  <sheetFormatPr baseColWidth="10" defaultRowHeight="12.75"/>
  <cols>
    <col min="1" max="1" width="21.5703125" style="8" bestFit="1" customWidth="1"/>
    <col min="2" max="2" width="28.42578125" style="8" customWidth="1"/>
    <col min="3" max="3" width="23" style="8" bestFit="1" customWidth="1"/>
    <col min="4" max="11" width="13.7109375" style="8" customWidth="1"/>
    <col min="12" max="12" width="1.7109375" style="2" customWidth="1"/>
    <col min="13" max="13" width="13.7109375" style="2" customWidth="1"/>
    <col min="14" max="35" width="11.42578125" style="8"/>
    <col min="36" max="36" width="11.42578125" style="29"/>
    <col min="37" max="16384" width="11.42578125" style="8"/>
  </cols>
  <sheetData>
    <row r="1" spans="1:36" s="30" customFormat="1" ht="30" customHeight="1">
      <c r="A1" s="323" t="s">
        <v>54</v>
      </c>
      <c r="B1" s="324"/>
      <c r="C1" s="324"/>
      <c r="D1" s="324"/>
      <c r="E1" s="324"/>
      <c r="F1" s="324"/>
      <c r="G1" s="324"/>
      <c r="H1" s="324"/>
      <c r="I1" s="324"/>
      <c r="J1" s="324"/>
      <c r="K1" s="325"/>
      <c r="L1" s="8"/>
      <c r="M1" s="31" t="s">
        <v>134</v>
      </c>
      <c r="N1" s="8"/>
      <c r="O1" s="8"/>
      <c r="P1" s="8"/>
    </row>
    <row r="2" spans="1:36" ht="30" customHeight="1">
      <c r="A2" s="328" t="s">
        <v>301</v>
      </c>
      <c r="B2" s="328"/>
      <c r="C2" s="328"/>
      <c r="D2" s="328"/>
      <c r="E2" s="328"/>
      <c r="F2" s="328"/>
      <c r="G2" s="328"/>
      <c r="H2" s="328"/>
      <c r="I2" s="328"/>
      <c r="J2" s="328"/>
      <c r="K2" s="338"/>
      <c r="L2" s="19"/>
    </row>
    <row r="3" spans="1:36" ht="8.1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0"/>
      <c r="M3" s="8"/>
    </row>
    <row r="4" spans="1:36" ht="15" customHeight="1">
      <c r="A4" s="384" t="s">
        <v>224</v>
      </c>
      <c r="B4" s="384" t="s">
        <v>225</v>
      </c>
      <c r="C4" s="384" t="s">
        <v>226</v>
      </c>
      <c r="D4" s="394" t="s">
        <v>0</v>
      </c>
      <c r="E4" s="395"/>
      <c r="F4" s="394" t="s">
        <v>37</v>
      </c>
      <c r="G4" s="395" t="s">
        <v>37</v>
      </c>
      <c r="H4" s="394" t="s">
        <v>42</v>
      </c>
      <c r="I4" s="395"/>
      <c r="J4" s="394" t="s">
        <v>39</v>
      </c>
      <c r="K4" s="395"/>
      <c r="L4" s="8"/>
      <c r="M4" s="8"/>
      <c r="AJ4" s="8"/>
    </row>
    <row r="5" spans="1:36" ht="15" customHeight="1">
      <c r="A5" s="386"/>
      <c r="B5" s="386"/>
      <c r="C5" s="386"/>
      <c r="D5" s="286" t="s">
        <v>76</v>
      </c>
      <c r="E5" s="286" t="s">
        <v>156</v>
      </c>
      <c r="F5" s="286" t="s">
        <v>76</v>
      </c>
      <c r="G5" s="286" t="s">
        <v>156</v>
      </c>
      <c r="H5" s="286" t="s">
        <v>76</v>
      </c>
      <c r="I5" s="286" t="s">
        <v>156</v>
      </c>
      <c r="J5" s="286" t="s">
        <v>76</v>
      </c>
      <c r="K5" s="286" t="s">
        <v>156</v>
      </c>
      <c r="L5" s="8"/>
      <c r="M5" s="8"/>
      <c r="AJ5" s="8"/>
    </row>
    <row r="6" spans="1:36" s="5" customFormat="1" ht="15" customHeight="1">
      <c r="A6" s="349" t="s">
        <v>0</v>
      </c>
      <c r="B6" s="383"/>
      <c r="C6" s="256"/>
      <c r="D6" s="204">
        <v>1.1287809037715042E-2</v>
      </c>
      <c r="E6" s="198">
        <v>0.09</v>
      </c>
      <c r="F6" s="204">
        <v>7.7073008131015941E-3</v>
      </c>
      <c r="G6" s="198">
        <v>0.1</v>
      </c>
      <c r="H6" s="204">
        <v>4.1807193224896021E-3</v>
      </c>
      <c r="I6" s="198">
        <v>0.03</v>
      </c>
      <c r="J6" s="204">
        <v>4.7832272243722829E-2</v>
      </c>
      <c r="K6" s="198">
        <v>7.0000000000000007E-2</v>
      </c>
    </row>
    <row r="7" spans="1:36" ht="15" customHeight="1">
      <c r="A7" s="160" t="s">
        <v>141</v>
      </c>
      <c r="B7" s="257"/>
      <c r="C7" s="169"/>
      <c r="D7" s="137">
        <v>1.2746401633565845E-2</v>
      </c>
      <c r="E7" s="105">
        <v>0.05</v>
      </c>
      <c r="F7" s="137">
        <v>7.4986604021969787E-3</v>
      </c>
      <c r="G7" s="105">
        <v>0.12</v>
      </c>
      <c r="H7" s="137">
        <v>4.9917170706564266E-3</v>
      </c>
      <c r="I7" s="105">
        <v>0.04</v>
      </c>
      <c r="J7" s="137">
        <v>7.6305565162316957E-2</v>
      </c>
      <c r="K7" s="105">
        <v>0.45</v>
      </c>
      <c r="L7" s="8"/>
      <c r="M7" s="8"/>
      <c r="AJ7" s="8"/>
    </row>
    <row r="8" spans="1:36" ht="15" customHeight="1">
      <c r="A8" s="161" t="s">
        <v>104</v>
      </c>
      <c r="B8" s="258"/>
      <c r="C8" s="172"/>
      <c r="D8" s="139">
        <v>2.0115472722225327E-2</v>
      </c>
      <c r="E8" s="107">
        <v>0.23</v>
      </c>
      <c r="F8" s="139">
        <v>1.3680616899241155E-2</v>
      </c>
      <c r="G8" s="107">
        <v>0.21</v>
      </c>
      <c r="H8" s="139">
        <v>1.0490579553726002E-2</v>
      </c>
      <c r="I8" s="107">
        <v>0.15</v>
      </c>
      <c r="J8" s="139">
        <v>7.7152058143811486E-2</v>
      </c>
      <c r="K8" s="107">
        <v>0.7</v>
      </c>
      <c r="L8" s="8"/>
      <c r="M8" s="8"/>
      <c r="AJ8" s="8"/>
    </row>
    <row r="9" spans="1:36" ht="15" customHeight="1">
      <c r="A9" s="162" t="s">
        <v>2</v>
      </c>
      <c r="B9" s="257"/>
      <c r="C9" s="169"/>
      <c r="D9" s="140">
        <v>1.6841950124571948E-2</v>
      </c>
      <c r="E9" s="109">
        <v>0.21</v>
      </c>
      <c r="F9" s="140">
        <v>1.160555128655299E-2</v>
      </c>
      <c r="G9" s="109">
        <v>0.18</v>
      </c>
      <c r="H9" s="140">
        <v>6.8470847710826073E-3</v>
      </c>
      <c r="I9" s="109">
        <v>0.05</v>
      </c>
      <c r="J9" s="140">
        <v>6.7564492445646371E-2</v>
      </c>
      <c r="K9" s="109">
        <v>0.74</v>
      </c>
      <c r="L9" s="8"/>
      <c r="M9" s="8"/>
      <c r="AJ9" s="8"/>
    </row>
    <row r="10" spans="1:36" ht="15" customHeight="1">
      <c r="A10" s="161"/>
      <c r="B10" s="259" t="s">
        <v>93</v>
      </c>
      <c r="C10" s="179"/>
      <c r="D10" s="139">
        <v>1.3086955974036229E-2</v>
      </c>
      <c r="E10" s="107">
        <v>0.2</v>
      </c>
      <c r="F10" s="139">
        <v>6.4567054859731117E-3</v>
      </c>
      <c r="G10" s="107">
        <v>0.16</v>
      </c>
      <c r="H10" s="139">
        <v>4.8421010434229316E-3</v>
      </c>
      <c r="I10" s="107">
        <v>-0.09</v>
      </c>
      <c r="J10" s="139">
        <v>7.3434685269120989E-2</v>
      </c>
      <c r="K10" s="107">
        <v>0.39</v>
      </c>
      <c r="L10" s="8"/>
      <c r="M10" s="8"/>
      <c r="AJ10" s="8"/>
    </row>
    <row r="11" spans="1:36" ht="15" customHeight="1">
      <c r="A11" s="162"/>
      <c r="B11" s="260"/>
      <c r="C11" s="183" t="s">
        <v>227</v>
      </c>
      <c r="D11" s="206">
        <v>1.0958767474268596E-2</v>
      </c>
      <c r="E11" s="200">
        <v>0.18</v>
      </c>
      <c r="F11" s="206">
        <v>4.5525265915553467E-3</v>
      </c>
      <c r="G11" s="200">
        <v>0.08</v>
      </c>
      <c r="H11" s="206">
        <v>8.920834936209902E-3</v>
      </c>
      <c r="I11" s="200">
        <v>0.69</v>
      </c>
      <c r="J11" s="206">
        <v>4.7818440943316089E-2</v>
      </c>
      <c r="K11" s="200">
        <v>0.59</v>
      </c>
      <c r="L11" s="8"/>
      <c r="M11" s="8"/>
      <c r="AJ11" s="8"/>
    </row>
    <row r="12" spans="1:36" ht="15" customHeight="1">
      <c r="A12" s="161"/>
      <c r="B12" s="259"/>
      <c r="C12" s="179" t="s">
        <v>228</v>
      </c>
      <c r="D12" s="205">
        <v>6.0205616958924103E-3</v>
      </c>
      <c r="E12" s="199">
        <v>-0.18</v>
      </c>
      <c r="F12" s="205">
        <v>1.7914631343828606E-3</v>
      </c>
      <c r="G12" s="199">
        <v>-0.13</v>
      </c>
      <c r="H12" s="205">
        <v>1.6527995287275263E-3</v>
      </c>
      <c r="I12" s="199">
        <v>-0.49</v>
      </c>
      <c r="J12" s="205">
        <v>2.9896309945044712E-2</v>
      </c>
      <c r="K12" s="199">
        <v>-0.35</v>
      </c>
      <c r="L12" s="8"/>
      <c r="M12" s="8"/>
      <c r="AJ12" s="8"/>
    </row>
    <row r="13" spans="1:36" ht="15" customHeight="1">
      <c r="A13" s="162"/>
      <c r="B13" s="260"/>
      <c r="C13" s="183" t="s">
        <v>229</v>
      </c>
      <c r="D13" s="206">
        <v>1.1578024454030101E-2</v>
      </c>
      <c r="E13" s="200">
        <v>0.01</v>
      </c>
      <c r="F13" s="206">
        <v>5.6648713706336454E-3</v>
      </c>
      <c r="G13" s="200">
        <v>0.06</v>
      </c>
      <c r="H13" s="206">
        <v>5.1911345714668817E-3</v>
      </c>
      <c r="I13" s="200">
        <v>-7.0000000000000007E-2</v>
      </c>
      <c r="J13" s="206">
        <v>7.2620935324287594E-2</v>
      </c>
      <c r="K13" s="200">
        <v>-0.38</v>
      </c>
      <c r="L13" s="8"/>
      <c r="M13" s="8"/>
      <c r="AJ13" s="8"/>
    </row>
    <row r="14" spans="1:36" ht="15" customHeight="1">
      <c r="A14" s="161"/>
      <c r="B14" s="259" t="s">
        <v>94</v>
      </c>
      <c r="C14" s="179"/>
      <c r="D14" s="139">
        <v>6.1861682088567788E-3</v>
      </c>
      <c r="E14" s="107">
        <v>-0.03</v>
      </c>
      <c r="F14" s="139">
        <v>3.3431290700502809E-3</v>
      </c>
      <c r="G14" s="107">
        <v>-0.01</v>
      </c>
      <c r="H14" s="139">
        <v>3.5313367915445213E-3</v>
      </c>
      <c r="I14" s="107">
        <v>0.06</v>
      </c>
      <c r="J14" s="139">
        <v>2.9387884242082083E-2</v>
      </c>
      <c r="K14" s="107">
        <v>-0.04</v>
      </c>
      <c r="L14" s="8"/>
      <c r="M14" s="8"/>
      <c r="AJ14" s="8"/>
    </row>
    <row r="15" spans="1:36" ht="15" customHeight="1">
      <c r="A15" s="162"/>
      <c r="B15" s="260"/>
      <c r="C15" s="183" t="s">
        <v>230</v>
      </c>
      <c r="D15" s="206">
        <v>5.8188372811342499E-3</v>
      </c>
      <c r="E15" s="200">
        <v>-0.03</v>
      </c>
      <c r="F15" s="206">
        <v>3.4633978135367753E-3</v>
      </c>
      <c r="G15" s="200">
        <v>-0.01</v>
      </c>
      <c r="H15" s="206">
        <v>3.671864684842169E-3</v>
      </c>
      <c r="I15" s="200">
        <v>0.02</v>
      </c>
      <c r="J15" s="206">
        <v>2.4983444239702238E-2</v>
      </c>
      <c r="K15" s="200">
        <v>-0.16</v>
      </c>
      <c r="L15" s="8"/>
      <c r="M15" s="8"/>
      <c r="AJ15" s="8"/>
    </row>
    <row r="16" spans="1:36" ht="15" customHeight="1">
      <c r="A16" s="161"/>
      <c r="B16" s="259"/>
      <c r="C16" s="179" t="s">
        <v>231</v>
      </c>
      <c r="D16" s="205">
        <v>7.9958855984102982E-3</v>
      </c>
      <c r="E16" s="199">
        <v>0.04</v>
      </c>
      <c r="F16" s="205">
        <v>3.7116080130236259E-3</v>
      </c>
      <c r="G16" s="199">
        <v>0.01</v>
      </c>
      <c r="H16" s="205">
        <v>2.0592407922135811E-3</v>
      </c>
      <c r="I16" s="199">
        <v>-0.3</v>
      </c>
      <c r="J16" s="205">
        <v>3.2017355982986724E-2</v>
      </c>
      <c r="K16" s="199">
        <v>0.26</v>
      </c>
      <c r="L16" s="8"/>
      <c r="M16" s="8"/>
      <c r="AJ16" s="8"/>
    </row>
    <row r="17" spans="1:36" ht="15" customHeight="1">
      <c r="A17" s="162"/>
      <c r="B17" s="260"/>
      <c r="C17" s="183" t="s">
        <v>232</v>
      </c>
      <c r="D17" s="206">
        <v>6.1838116980411084E-3</v>
      </c>
      <c r="E17" s="200">
        <v>-0.06</v>
      </c>
      <c r="F17" s="206">
        <v>3.3099378985354429E-3</v>
      </c>
      <c r="G17" s="200">
        <v>-0.01</v>
      </c>
      <c r="H17" s="206">
        <v>4.3513585838549579E-3</v>
      </c>
      <c r="I17" s="200">
        <v>0.28999999999999998</v>
      </c>
      <c r="J17" s="206">
        <v>2.7677611395957879E-2</v>
      </c>
      <c r="K17" s="200">
        <v>-0.59</v>
      </c>
      <c r="L17" s="8"/>
      <c r="M17" s="8"/>
      <c r="AJ17" s="8"/>
    </row>
    <row r="18" spans="1:36" ht="15" customHeight="1">
      <c r="A18" s="161"/>
      <c r="B18" s="259"/>
      <c r="C18" s="179" t="s">
        <v>233</v>
      </c>
      <c r="D18" s="205">
        <v>5.7971493667221367E-3</v>
      </c>
      <c r="E18" s="199">
        <v>-0.03</v>
      </c>
      <c r="F18" s="205">
        <v>3.0900253560629328E-3</v>
      </c>
      <c r="G18" s="199">
        <v>-0.03</v>
      </c>
      <c r="H18" s="205">
        <v>2.9475547917159062E-3</v>
      </c>
      <c r="I18" s="199">
        <v>-0.03</v>
      </c>
      <c r="J18" s="205">
        <v>2.5715129250453894E-2</v>
      </c>
      <c r="K18" s="199">
        <v>-0.04</v>
      </c>
      <c r="L18" s="8"/>
      <c r="M18" s="8"/>
      <c r="AJ18" s="8"/>
    </row>
    <row r="19" spans="1:36" ht="15" customHeight="1">
      <c r="A19" s="162"/>
      <c r="B19" s="260"/>
      <c r="C19" s="183" t="s">
        <v>234</v>
      </c>
      <c r="D19" s="206">
        <v>5.3787266096886575E-3</v>
      </c>
      <c r="E19" s="200">
        <v>-0.1</v>
      </c>
      <c r="F19" s="206">
        <v>3.1706492528293774E-3</v>
      </c>
      <c r="G19" s="200">
        <v>-0.02</v>
      </c>
      <c r="H19" s="206">
        <v>2.9182078678578883E-3</v>
      </c>
      <c r="I19" s="200">
        <v>0</v>
      </c>
      <c r="J19" s="206">
        <v>2.419654241782411E-2</v>
      </c>
      <c r="K19" s="200">
        <v>-0.8</v>
      </c>
      <c r="L19" s="8"/>
      <c r="M19" s="8"/>
      <c r="AJ19" s="8"/>
    </row>
    <row r="20" spans="1:36" ht="15" customHeight="1">
      <c r="A20" s="161"/>
      <c r="B20" s="259" t="s">
        <v>95</v>
      </c>
      <c r="C20" s="179"/>
      <c r="D20" s="139">
        <v>2.3543288412159167E-2</v>
      </c>
      <c r="E20" s="107">
        <v>0.46</v>
      </c>
      <c r="F20" s="139">
        <v>1.5416479006309649E-2</v>
      </c>
      <c r="G20" s="107">
        <v>0.33</v>
      </c>
      <c r="H20" s="139">
        <v>1.0760649484589994E-2</v>
      </c>
      <c r="I20" s="107">
        <v>0.34</v>
      </c>
      <c r="J20" s="139">
        <v>8.3811440774447105E-2</v>
      </c>
      <c r="K20" s="107">
        <v>1.53</v>
      </c>
      <c r="L20" s="8"/>
      <c r="M20" s="8"/>
      <c r="AJ20" s="8"/>
    </row>
    <row r="21" spans="1:36" ht="15" customHeight="1">
      <c r="A21" s="162"/>
      <c r="B21" s="260"/>
      <c r="C21" s="183" t="s">
        <v>235</v>
      </c>
      <c r="D21" s="206">
        <v>1.9281058394369902E-2</v>
      </c>
      <c r="E21" s="200">
        <v>0.1</v>
      </c>
      <c r="F21" s="206">
        <v>1.3251102266566206E-2</v>
      </c>
      <c r="G21" s="200">
        <v>0.2</v>
      </c>
      <c r="H21" s="206">
        <v>6.7520125638868382E-3</v>
      </c>
      <c r="I21" s="200">
        <v>0.04</v>
      </c>
      <c r="J21" s="206">
        <v>5.8421568705802972E-2</v>
      </c>
      <c r="K21" s="200">
        <v>-0.21</v>
      </c>
      <c r="L21" s="8"/>
      <c r="M21" s="8"/>
      <c r="AJ21" s="8"/>
    </row>
    <row r="22" spans="1:36" ht="15" customHeight="1">
      <c r="A22" s="161"/>
      <c r="B22" s="259"/>
      <c r="C22" s="179" t="s">
        <v>236</v>
      </c>
      <c r="D22" s="205">
        <v>2.6381992086242895E-2</v>
      </c>
      <c r="E22" s="199">
        <v>0.4</v>
      </c>
      <c r="F22" s="205">
        <v>1.4108850678381923E-2</v>
      </c>
      <c r="G22" s="199">
        <v>0.28000000000000003</v>
      </c>
      <c r="H22" s="205">
        <v>1.3666890663147777E-2</v>
      </c>
      <c r="I22" s="199">
        <v>0.66</v>
      </c>
      <c r="J22" s="205">
        <v>9.6720493481443862E-2</v>
      </c>
      <c r="K22" s="199">
        <v>0.95</v>
      </c>
      <c r="L22" s="8"/>
      <c r="M22" s="8"/>
      <c r="AJ22" s="8"/>
    </row>
    <row r="23" spans="1:36" ht="15" customHeight="1">
      <c r="A23" s="162"/>
      <c r="B23" s="260"/>
      <c r="C23" s="183" t="s">
        <v>237</v>
      </c>
      <c r="D23" s="206">
        <v>3.2442631466238707E-2</v>
      </c>
      <c r="E23" s="200">
        <v>0.24</v>
      </c>
      <c r="F23" s="206">
        <v>2.3648096417144986E-2</v>
      </c>
      <c r="G23" s="200">
        <v>0.18</v>
      </c>
      <c r="H23" s="206">
        <v>1.8008602526113228E-2</v>
      </c>
      <c r="I23" s="200">
        <v>0.48</v>
      </c>
      <c r="J23" s="206">
        <v>9.4564164294719463E-2</v>
      </c>
      <c r="K23" s="200">
        <v>0.42</v>
      </c>
      <c r="L23" s="8"/>
      <c r="M23" s="8"/>
      <c r="AJ23" s="8"/>
    </row>
    <row r="24" spans="1:36" ht="15" customHeight="1">
      <c r="A24" s="161"/>
      <c r="B24" s="259"/>
      <c r="C24" s="179" t="s">
        <v>238</v>
      </c>
      <c r="D24" s="205">
        <v>8.0178713479879989E-3</v>
      </c>
      <c r="E24" s="199">
        <v>0.05</v>
      </c>
      <c r="F24" s="205">
        <v>6.0364649090491928E-3</v>
      </c>
      <c r="G24" s="199">
        <v>0.06</v>
      </c>
      <c r="H24" s="205">
        <v>4.1745735566313556E-3</v>
      </c>
      <c r="I24" s="199">
        <v>0.05</v>
      </c>
      <c r="J24" s="205">
        <v>2.7483609987383341E-2</v>
      </c>
      <c r="K24" s="199">
        <v>-0.02</v>
      </c>
      <c r="L24" s="8"/>
      <c r="M24" s="8"/>
      <c r="AJ24" s="8"/>
    </row>
    <row r="25" spans="1:36" ht="15" customHeight="1">
      <c r="A25" s="162"/>
      <c r="B25" s="260" t="s">
        <v>96</v>
      </c>
      <c r="C25" s="183"/>
      <c r="D25" s="137">
        <v>2.9473105595927578E-2</v>
      </c>
      <c r="E25" s="105">
        <v>0.34</v>
      </c>
      <c r="F25" s="137">
        <v>1.9026576485158101E-2</v>
      </c>
      <c r="G25" s="105">
        <v>0.31</v>
      </c>
      <c r="H25" s="137">
        <v>1.4734837567923221E-2</v>
      </c>
      <c r="I25" s="105">
        <v>0.3</v>
      </c>
      <c r="J25" s="137">
        <v>0.10721076062717851</v>
      </c>
      <c r="K25" s="105">
        <v>0.7</v>
      </c>
      <c r="L25" s="8"/>
      <c r="M25" s="8"/>
      <c r="AJ25" s="8"/>
    </row>
    <row r="26" spans="1:36" ht="15" customHeight="1">
      <c r="A26" s="161"/>
      <c r="B26" s="259"/>
      <c r="C26" s="179" t="s">
        <v>239</v>
      </c>
      <c r="D26" s="205">
        <v>4.3453810760422505E-2</v>
      </c>
      <c r="E26" s="199">
        <v>0.48</v>
      </c>
      <c r="F26" s="205">
        <v>3.264126819940516E-2</v>
      </c>
      <c r="G26" s="199">
        <v>0.24</v>
      </c>
      <c r="H26" s="205">
        <v>2.6686211934429251E-2</v>
      </c>
      <c r="I26" s="199">
        <v>0.32</v>
      </c>
      <c r="J26" s="205">
        <v>0.13875649063517223</v>
      </c>
      <c r="K26" s="199">
        <v>2.34</v>
      </c>
      <c r="L26" s="8"/>
      <c r="M26" s="8"/>
      <c r="AJ26" s="8"/>
    </row>
    <row r="27" spans="1:36" ht="15" customHeight="1">
      <c r="A27" s="162"/>
      <c r="B27" s="260"/>
      <c r="C27" s="183" t="s">
        <v>240</v>
      </c>
      <c r="D27" s="206">
        <v>2.0475749319469636E-2</v>
      </c>
      <c r="E27" s="200">
        <v>-0.05</v>
      </c>
      <c r="F27" s="206">
        <v>1.4152739543840737E-2</v>
      </c>
      <c r="G27" s="200">
        <v>0.06</v>
      </c>
      <c r="H27" s="206">
        <v>7.8609904219768302E-3</v>
      </c>
      <c r="I27" s="200">
        <v>-0.3</v>
      </c>
      <c r="J27" s="206">
        <v>6.9468721354429691E-2</v>
      </c>
      <c r="K27" s="200">
        <v>-0.61</v>
      </c>
      <c r="L27" s="8"/>
      <c r="M27" s="8"/>
      <c r="AJ27" s="8"/>
    </row>
    <row r="28" spans="1:36" ht="15" customHeight="1">
      <c r="A28" s="161"/>
      <c r="B28" s="259"/>
      <c r="C28" s="179" t="s">
        <v>241</v>
      </c>
      <c r="D28" s="205">
        <v>2.5847399495303791E-2</v>
      </c>
      <c r="E28" s="199">
        <v>-0.02</v>
      </c>
      <c r="F28" s="205">
        <v>1.3635409270491497E-2</v>
      </c>
      <c r="G28" s="199">
        <v>0.12</v>
      </c>
      <c r="H28" s="205">
        <v>9.7120759198488261E-3</v>
      </c>
      <c r="I28" s="199">
        <v>0.11</v>
      </c>
      <c r="J28" s="205">
        <v>0.11061123519597402</v>
      </c>
      <c r="K28" s="199">
        <v>-0.89</v>
      </c>
      <c r="L28" s="8"/>
      <c r="M28" s="8"/>
      <c r="AJ28" s="8"/>
    </row>
    <row r="29" spans="1:36" ht="15" customHeight="1">
      <c r="A29" s="162"/>
      <c r="B29" s="260"/>
      <c r="C29" s="183" t="s">
        <v>242</v>
      </c>
      <c r="D29" s="206">
        <v>1.0632025809233954E-2</v>
      </c>
      <c r="E29" s="200">
        <v>0.03</v>
      </c>
      <c r="F29" s="206">
        <v>7.6651801178894315E-3</v>
      </c>
      <c r="G29" s="200">
        <v>0.01</v>
      </c>
      <c r="H29" s="206">
        <v>6.9884626738170837E-3</v>
      </c>
      <c r="I29" s="200">
        <v>0.41</v>
      </c>
      <c r="J29" s="206">
        <v>3.2626269691522478E-2</v>
      </c>
      <c r="K29" s="200">
        <v>0.11</v>
      </c>
      <c r="L29" s="8"/>
      <c r="M29" s="8"/>
      <c r="AJ29" s="8"/>
    </row>
    <row r="30" spans="1:36" ht="15" customHeight="1">
      <c r="A30" s="161"/>
      <c r="B30" s="259"/>
      <c r="C30" s="179" t="s">
        <v>243</v>
      </c>
      <c r="D30" s="205">
        <v>3.6042812240422453E-2</v>
      </c>
      <c r="E30" s="199">
        <v>0.06</v>
      </c>
      <c r="F30" s="205">
        <v>2.3893843532544208E-2</v>
      </c>
      <c r="G30" s="199">
        <v>0.3</v>
      </c>
      <c r="H30" s="205">
        <v>2.069432818227572E-2</v>
      </c>
      <c r="I30" s="199">
        <v>0.37</v>
      </c>
      <c r="J30" s="205">
        <v>0.12102187333207513</v>
      </c>
      <c r="K30" s="199">
        <v>-1.3</v>
      </c>
      <c r="L30" s="8"/>
      <c r="M30" s="8"/>
      <c r="AJ30" s="8"/>
    </row>
    <row r="31" spans="1:36" ht="15" customHeight="1">
      <c r="A31" s="162"/>
      <c r="B31" s="260" t="s">
        <v>97</v>
      </c>
      <c r="C31" s="183"/>
      <c r="D31" s="137">
        <v>2.7761267071959358E-2</v>
      </c>
      <c r="E31" s="105">
        <v>0.55000000000000004</v>
      </c>
      <c r="F31" s="137">
        <v>1.8363898955548977E-2</v>
      </c>
      <c r="G31" s="105">
        <v>0.31</v>
      </c>
      <c r="H31" s="137">
        <v>1.7246206309546357E-2</v>
      </c>
      <c r="I31" s="105">
        <v>0.12</v>
      </c>
      <c r="J31" s="137">
        <v>9.0466952741302994E-2</v>
      </c>
      <c r="K31" s="105">
        <v>2.39</v>
      </c>
      <c r="L31" s="8"/>
      <c r="M31" s="8"/>
      <c r="AJ31" s="8"/>
    </row>
    <row r="32" spans="1:36" ht="15" customHeight="1">
      <c r="A32" s="161"/>
      <c r="B32" s="259"/>
      <c r="C32" s="179" t="s">
        <v>244</v>
      </c>
      <c r="D32" s="205">
        <v>1.5553010993435864E-2</v>
      </c>
      <c r="E32" s="199">
        <v>0.08</v>
      </c>
      <c r="F32" s="205">
        <v>9.7438046110737402E-3</v>
      </c>
      <c r="G32" s="199">
        <v>-0.02</v>
      </c>
      <c r="H32" s="205">
        <v>8.3640079852347893E-3</v>
      </c>
      <c r="I32" s="199">
        <v>0.1</v>
      </c>
      <c r="J32" s="205">
        <v>4.969136169606872E-2</v>
      </c>
      <c r="K32" s="199">
        <v>0.56999999999999995</v>
      </c>
      <c r="L32" s="8"/>
      <c r="M32" s="8"/>
      <c r="AJ32" s="8"/>
    </row>
    <row r="33" spans="1:36" ht="15" customHeight="1">
      <c r="A33" s="162"/>
      <c r="B33" s="260"/>
      <c r="C33" s="183" t="s">
        <v>245</v>
      </c>
      <c r="D33" s="206">
        <v>1.8650477589747336E-2</v>
      </c>
      <c r="E33" s="200">
        <v>0.14000000000000001</v>
      </c>
      <c r="F33" s="206">
        <v>1.1870690336207083E-2</v>
      </c>
      <c r="G33" s="200">
        <v>0.08</v>
      </c>
      <c r="H33" s="206">
        <v>1.1258516989790884E-2</v>
      </c>
      <c r="I33" s="200">
        <v>-0.18</v>
      </c>
      <c r="J33" s="206">
        <v>5.7748087733333883E-2</v>
      </c>
      <c r="K33" s="200">
        <v>0.51</v>
      </c>
      <c r="L33" s="8"/>
      <c r="M33" s="8"/>
      <c r="AJ33" s="8"/>
    </row>
    <row r="34" spans="1:36" ht="15" customHeight="1">
      <c r="A34" s="161"/>
      <c r="B34" s="259"/>
      <c r="C34" s="179" t="s">
        <v>246</v>
      </c>
      <c r="D34" s="205">
        <v>3.2466525979776985E-2</v>
      </c>
      <c r="E34" s="199">
        <v>0.37</v>
      </c>
      <c r="F34" s="205">
        <v>2.2044789182012154E-2</v>
      </c>
      <c r="G34" s="199">
        <v>0.18</v>
      </c>
      <c r="H34" s="205">
        <v>2.2069454348683296E-2</v>
      </c>
      <c r="I34" s="199">
        <v>0</v>
      </c>
      <c r="J34" s="205">
        <v>0.10644647776077192</v>
      </c>
      <c r="K34" s="199">
        <v>1.73</v>
      </c>
      <c r="L34" s="8"/>
      <c r="M34" s="8"/>
      <c r="AJ34" s="8"/>
    </row>
    <row r="35" spans="1:36" ht="15" customHeight="1">
      <c r="A35" s="162"/>
      <c r="B35" s="260" t="s">
        <v>98</v>
      </c>
      <c r="C35" s="183"/>
      <c r="D35" s="137">
        <v>2.0853823632112033E-2</v>
      </c>
      <c r="E35" s="105">
        <v>0.21</v>
      </c>
      <c r="F35" s="137">
        <v>1.5051921713449722E-2</v>
      </c>
      <c r="G35" s="105">
        <v>0.27</v>
      </c>
      <c r="H35" s="137">
        <v>1.0809608446211705E-2</v>
      </c>
      <c r="I35" s="105">
        <v>0.38</v>
      </c>
      <c r="J35" s="137">
        <v>6.0931975276256323E-2</v>
      </c>
      <c r="K35" s="105">
        <v>-0.51</v>
      </c>
      <c r="L35" s="8"/>
      <c r="M35" s="8"/>
      <c r="AJ35" s="8"/>
    </row>
    <row r="36" spans="1:36" ht="15" customHeight="1">
      <c r="A36" s="161"/>
      <c r="B36" s="259"/>
      <c r="C36" s="179" t="s">
        <v>247</v>
      </c>
      <c r="D36" s="205">
        <v>3.2604156818168716E-2</v>
      </c>
      <c r="E36" s="199">
        <v>-7.0000000000000007E-2</v>
      </c>
      <c r="F36" s="205">
        <v>2.3078119404203255E-2</v>
      </c>
      <c r="G36" s="199">
        <v>0.1</v>
      </c>
      <c r="H36" s="205">
        <v>2.194330966786948E-2</v>
      </c>
      <c r="I36" s="199">
        <v>1.18</v>
      </c>
      <c r="J36" s="205">
        <v>9.6073003594836129E-2</v>
      </c>
      <c r="K36" s="199">
        <v>-1.57</v>
      </c>
      <c r="L36" s="8"/>
      <c r="M36" s="8"/>
      <c r="AJ36" s="8"/>
    </row>
    <row r="37" spans="1:36" ht="15" customHeight="1">
      <c r="A37" s="162"/>
      <c r="B37" s="260"/>
      <c r="C37" s="183" t="s">
        <v>248</v>
      </c>
      <c r="D37" s="206">
        <v>5.7726828898987739E-3</v>
      </c>
      <c r="E37" s="200">
        <v>0.1</v>
      </c>
      <c r="F37" s="206">
        <v>4.1824659072119486E-3</v>
      </c>
      <c r="G37" s="200">
        <v>0.15</v>
      </c>
      <c r="H37" s="206">
        <v>3.0531076587586138E-3</v>
      </c>
      <c r="I37" s="200">
        <v>0</v>
      </c>
      <c r="J37" s="206">
        <v>1.5482857999701359E-2</v>
      </c>
      <c r="K37" s="200">
        <v>-0.3</v>
      </c>
      <c r="L37" s="8"/>
      <c r="M37" s="8"/>
      <c r="AJ37" s="8"/>
    </row>
    <row r="38" spans="1:36" ht="15" customHeight="1">
      <c r="A38" s="161"/>
      <c r="B38" s="259"/>
      <c r="C38" s="179" t="s">
        <v>249</v>
      </c>
      <c r="D38" s="205">
        <v>2.3031467808420292E-2</v>
      </c>
      <c r="E38" s="199">
        <v>0</v>
      </c>
      <c r="F38" s="205">
        <v>1.6569545548492264E-2</v>
      </c>
      <c r="G38" s="199">
        <v>0.17</v>
      </c>
      <c r="H38" s="205">
        <v>8.6172542033378062E-3</v>
      </c>
      <c r="I38" s="199">
        <v>-0.32</v>
      </c>
      <c r="J38" s="205">
        <v>7.6120025668377236E-2</v>
      </c>
      <c r="K38" s="199">
        <v>-0.98</v>
      </c>
      <c r="L38" s="8"/>
      <c r="M38" s="8"/>
      <c r="AJ38" s="8"/>
    </row>
    <row r="39" spans="1:36" ht="15" customHeight="1">
      <c r="A39" s="162"/>
      <c r="B39" s="260"/>
      <c r="C39" s="183" t="s">
        <v>250</v>
      </c>
      <c r="D39" s="206">
        <v>7.9784828533909849E-3</v>
      </c>
      <c r="E39" s="200">
        <v>0</v>
      </c>
      <c r="F39" s="206">
        <v>5.6051859483590722E-3</v>
      </c>
      <c r="G39" s="200">
        <v>-0.03</v>
      </c>
      <c r="H39" s="206">
        <v>5.5760198492254172E-3</v>
      </c>
      <c r="I39" s="200">
        <v>0.06</v>
      </c>
      <c r="J39" s="206">
        <v>2.8739301449971409E-2</v>
      </c>
      <c r="K39" s="200">
        <v>0.12</v>
      </c>
      <c r="L39" s="8"/>
      <c r="M39" s="8"/>
      <c r="AJ39" s="8"/>
    </row>
    <row r="40" spans="1:36" ht="15" customHeight="1">
      <c r="A40" s="161"/>
      <c r="B40" s="259" t="s">
        <v>99</v>
      </c>
      <c r="C40" s="179"/>
      <c r="D40" s="139">
        <v>2.194441563117806E-2</v>
      </c>
      <c r="E40" s="107">
        <v>0.3</v>
      </c>
      <c r="F40" s="139">
        <v>1.5923705387408189E-2</v>
      </c>
      <c r="G40" s="107">
        <v>0.26</v>
      </c>
      <c r="H40" s="139">
        <v>1.3292563184610614E-2</v>
      </c>
      <c r="I40" s="107">
        <v>-0.03</v>
      </c>
      <c r="J40" s="139">
        <v>6.5182273615675287E-2</v>
      </c>
      <c r="K40" s="107">
        <v>0.49</v>
      </c>
      <c r="L40" s="8"/>
      <c r="M40" s="8"/>
      <c r="AJ40" s="8"/>
    </row>
    <row r="41" spans="1:36" ht="15" customHeight="1">
      <c r="A41" s="162"/>
      <c r="B41" s="260"/>
      <c r="C41" s="183" t="s">
        <v>251</v>
      </c>
      <c r="D41" s="206">
        <v>2.306064869822581E-2</v>
      </c>
      <c r="E41" s="200">
        <v>-0.12</v>
      </c>
      <c r="F41" s="206">
        <v>1.6788130910911081E-2</v>
      </c>
      <c r="G41" s="200">
        <v>0.01</v>
      </c>
      <c r="H41" s="206">
        <v>1.41326461931404E-2</v>
      </c>
      <c r="I41" s="200">
        <v>0.04</v>
      </c>
      <c r="J41" s="206">
        <v>7.4418444827862515E-2</v>
      </c>
      <c r="K41" s="200">
        <v>-1.22</v>
      </c>
      <c r="L41" s="8"/>
      <c r="M41" s="8"/>
      <c r="AJ41" s="8"/>
    </row>
    <row r="42" spans="1:36" ht="15" customHeight="1">
      <c r="A42" s="161"/>
      <c r="B42" s="259"/>
      <c r="C42" s="179" t="s">
        <v>252</v>
      </c>
      <c r="D42" s="205">
        <v>1.8688853820565322E-2</v>
      </c>
      <c r="E42" s="199">
        <v>-0.04</v>
      </c>
      <c r="F42" s="205">
        <v>1.3049376536931662E-2</v>
      </c>
      <c r="G42" s="199">
        <v>-0.05</v>
      </c>
      <c r="H42" s="205">
        <v>1.2260804034994298E-2</v>
      </c>
      <c r="I42" s="199">
        <v>-0.56000000000000005</v>
      </c>
      <c r="J42" s="205">
        <v>6.2573742801409996E-2</v>
      </c>
      <c r="K42" s="199">
        <v>0.06</v>
      </c>
      <c r="L42" s="8"/>
      <c r="M42" s="8"/>
      <c r="AJ42" s="8"/>
    </row>
    <row r="43" spans="1:36" ht="15" customHeight="1">
      <c r="A43" s="162"/>
      <c r="B43" s="260"/>
      <c r="C43" s="183" t="s">
        <v>253</v>
      </c>
      <c r="D43" s="206">
        <v>1.6504178329805868E-2</v>
      </c>
      <c r="E43" s="200">
        <v>0.32</v>
      </c>
      <c r="F43" s="206">
        <v>1.1200092742045531E-2</v>
      </c>
      <c r="G43" s="200">
        <v>0.28000000000000003</v>
      </c>
      <c r="H43" s="206">
        <v>8.9732206639455813E-3</v>
      </c>
      <c r="I43" s="200">
        <v>-0.16</v>
      </c>
      <c r="J43" s="206">
        <v>5.2899517423951326E-2</v>
      </c>
      <c r="K43" s="200">
        <v>0.78</v>
      </c>
      <c r="L43" s="8"/>
      <c r="M43" s="8"/>
      <c r="AJ43" s="8"/>
    </row>
    <row r="44" spans="1:36" ht="15" customHeight="1">
      <c r="A44" s="161"/>
      <c r="B44" s="259"/>
      <c r="C44" s="179" t="s">
        <v>254</v>
      </c>
      <c r="D44" s="205">
        <v>1.8564744703110498E-2</v>
      </c>
      <c r="E44" s="199">
        <v>0.09</v>
      </c>
      <c r="F44" s="205">
        <v>1.3715769112770124E-2</v>
      </c>
      <c r="G44" s="199">
        <v>-0.03</v>
      </c>
      <c r="H44" s="205">
        <v>1.1549540632654429E-2</v>
      </c>
      <c r="I44" s="199">
        <v>-0.11</v>
      </c>
      <c r="J44" s="205">
        <v>4.6974682038674276E-2</v>
      </c>
      <c r="K44" s="199">
        <v>0.77</v>
      </c>
      <c r="L44" s="8"/>
      <c r="M44" s="8"/>
      <c r="AJ44" s="8"/>
    </row>
    <row r="45" spans="1:36" ht="15" customHeight="1">
      <c r="A45" s="162"/>
      <c r="B45" s="260"/>
      <c r="C45" s="183" t="s">
        <v>255</v>
      </c>
      <c r="D45" s="206">
        <v>1.9031877290546451E-2</v>
      </c>
      <c r="E45" s="200">
        <v>0.06</v>
      </c>
      <c r="F45" s="206">
        <v>1.4209141356324222E-2</v>
      </c>
      <c r="G45" s="200">
        <v>0.13</v>
      </c>
      <c r="H45" s="206">
        <v>1.3106349695372003E-2</v>
      </c>
      <c r="I45" s="200">
        <v>0.03</v>
      </c>
      <c r="J45" s="206">
        <v>5.8676679080100456E-2</v>
      </c>
      <c r="K45" s="200">
        <v>-0.27</v>
      </c>
      <c r="L45" s="8"/>
      <c r="M45" s="8"/>
      <c r="AJ45" s="8"/>
    </row>
    <row r="46" spans="1:36" ht="15" customHeight="1">
      <c r="A46" s="161"/>
      <c r="B46" s="259" t="s">
        <v>100</v>
      </c>
      <c r="C46" s="179"/>
      <c r="D46" s="139">
        <v>3.8438900792371583E-2</v>
      </c>
      <c r="E46" s="107">
        <v>0.62</v>
      </c>
      <c r="F46" s="139">
        <v>3.0779839571989143E-2</v>
      </c>
      <c r="G46" s="107">
        <v>0.54</v>
      </c>
      <c r="H46" s="139">
        <v>2.6669173478786522E-2</v>
      </c>
      <c r="I46" s="107">
        <v>0.6</v>
      </c>
      <c r="J46" s="139">
        <v>0.11023256536867804</v>
      </c>
      <c r="K46" s="107">
        <v>1.41</v>
      </c>
      <c r="L46" s="8"/>
      <c r="M46" s="8"/>
      <c r="AJ46" s="8"/>
    </row>
    <row r="47" spans="1:36" ht="15" customHeight="1">
      <c r="A47" s="162"/>
      <c r="B47" s="260"/>
      <c r="C47" s="183" t="s">
        <v>256</v>
      </c>
      <c r="D47" s="206">
        <v>4.456332462127429E-2</v>
      </c>
      <c r="E47" s="200">
        <v>0.4</v>
      </c>
      <c r="F47" s="206">
        <v>3.7082942541300914E-2</v>
      </c>
      <c r="G47" s="200">
        <v>0.4</v>
      </c>
      <c r="H47" s="206">
        <v>3.07538126223918E-2</v>
      </c>
      <c r="I47" s="200">
        <v>0.63</v>
      </c>
      <c r="J47" s="206">
        <v>0.11972140029008646</v>
      </c>
      <c r="K47" s="200">
        <v>0.37</v>
      </c>
      <c r="L47" s="8"/>
      <c r="M47" s="8"/>
      <c r="AJ47" s="8"/>
    </row>
    <row r="48" spans="1:36" ht="15" customHeight="1">
      <c r="A48" s="161"/>
      <c r="B48" s="259"/>
      <c r="C48" s="179" t="s">
        <v>257</v>
      </c>
      <c r="D48" s="205">
        <v>2.1568417179311385E-2</v>
      </c>
      <c r="E48" s="199">
        <v>0</v>
      </c>
      <c r="F48" s="205">
        <v>1.5692146215101597E-2</v>
      </c>
      <c r="G48" s="199">
        <v>-0.04</v>
      </c>
      <c r="H48" s="205">
        <v>1.5744418562128711E-2</v>
      </c>
      <c r="I48" s="199">
        <v>0.01</v>
      </c>
      <c r="J48" s="205">
        <v>7.1383788384508831E-2</v>
      </c>
      <c r="K48" s="199">
        <v>0.2</v>
      </c>
      <c r="L48" s="8"/>
      <c r="M48" s="8"/>
      <c r="AJ48" s="8"/>
    </row>
    <row r="49" spans="1:36" ht="15" customHeight="1">
      <c r="A49" s="162"/>
      <c r="B49" s="260"/>
      <c r="C49" s="183" t="s">
        <v>258</v>
      </c>
      <c r="D49" s="206">
        <v>2.5512012605077336E-2</v>
      </c>
      <c r="E49" s="200">
        <v>0.11</v>
      </c>
      <c r="F49" s="206">
        <v>1.9697471568994738E-2</v>
      </c>
      <c r="G49" s="200">
        <v>0.17</v>
      </c>
      <c r="H49" s="206">
        <v>2.074114786789491E-2</v>
      </c>
      <c r="I49" s="200">
        <v>0.27</v>
      </c>
      <c r="J49" s="206">
        <v>7.7670068834708048E-2</v>
      </c>
      <c r="K49" s="200">
        <v>-0.37</v>
      </c>
      <c r="L49" s="8"/>
      <c r="M49" s="8"/>
      <c r="AJ49" s="8"/>
    </row>
    <row r="50" spans="1:36" ht="15" customHeight="1">
      <c r="A50" s="161"/>
      <c r="B50" s="259" t="s">
        <v>259</v>
      </c>
      <c r="C50" s="179"/>
      <c r="D50" s="139">
        <v>2.170552500498496E-3</v>
      </c>
      <c r="E50" s="107">
        <v>0.03</v>
      </c>
      <c r="F50" s="139">
        <v>8.4287603544984943E-4</v>
      </c>
      <c r="G50" s="107">
        <v>0.01</v>
      </c>
      <c r="H50" s="139">
        <v>2.2346033167129606E-4</v>
      </c>
      <c r="I50" s="107">
        <v>-0.03</v>
      </c>
      <c r="J50" s="139">
        <v>2.70341365700296E-2</v>
      </c>
      <c r="K50" s="107">
        <v>0.18</v>
      </c>
      <c r="L50" s="8"/>
      <c r="M50" s="8"/>
      <c r="AJ50" s="8"/>
    </row>
    <row r="51" spans="1:36" ht="15" customHeight="1">
      <c r="A51" s="162"/>
      <c r="B51" s="260" t="s">
        <v>260</v>
      </c>
      <c r="C51" s="183"/>
      <c r="D51" s="137">
        <v>1.9649783337649194E-2</v>
      </c>
      <c r="E51" s="105">
        <v>0.6</v>
      </c>
      <c r="F51" s="137">
        <v>9.5471532820377413E-3</v>
      </c>
      <c r="G51" s="105">
        <v>0.24</v>
      </c>
      <c r="H51" s="137">
        <v>6.552562593722085E-3</v>
      </c>
      <c r="I51" s="105">
        <v>0.02</v>
      </c>
      <c r="J51" s="137">
        <v>0.12481090175752596</v>
      </c>
      <c r="K51" s="105">
        <v>4.3600000000000003</v>
      </c>
      <c r="L51" s="8"/>
      <c r="M51" s="8"/>
      <c r="AJ51" s="8"/>
    </row>
    <row r="52" spans="1:36" ht="15" customHeight="1">
      <c r="A52" s="161"/>
      <c r="B52" s="259" t="s">
        <v>261</v>
      </c>
      <c r="C52" s="179"/>
      <c r="D52" s="139">
        <v>3.5905396211034042E-3</v>
      </c>
      <c r="E52" s="107">
        <v>0.02</v>
      </c>
      <c r="F52" s="139">
        <v>1.9666920291211672E-3</v>
      </c>
      <c r="G52" s="107">
        <v>0.01</v>
      </c>
      <c r="H52" s="139">
        <v>1.4010039150488688E-3</v>
      </c>
      <c r="I52" s="107">
        <v>-0.02</v>
      </c>
      <c r="J52" s="139">
        <v>2.3964503246464194E-2</v>
      </c>
      <c r="K52" s="107">
        <v>0.2</v>
      </c>
      <c r="L52" s="8"/>
      <c r="M52" s="8"/>
      <c r="AJ52" s="8"/>
    </row>
    <row r="53" spans="1:36" ht="15" customHeight="1">
      <c r="A53" s="162"/>
      <c r="B53" s="260" t="s">
        <v>105</v>
      </c>
      <c r="C53" s="183"/>
      <c r="D53" s="137">
        <v>1.7972215738431878E-2</v>
      </c>
      <c r="E53" s="105">
        <v>0.1</v>
      </c>
      <c r="F53" s="137">
        <v>1.3861703856711323E-2</v>
      </c>
      <c r="G53" s="105">
        <v>0.11</v>
      </c>
      <c r="H53" s="137">
        <v>1.2249812430704448E-2</v>
      </c>
      <c r="I53" s="105">
        <v>0.27</v>
      </c>
      <c r="J53" s="137">
        <v>4.8116389891006722E-2</v>
      </c>
      <c r="K53" s="105">
        <v>-0.12</v>
      </c>
      <c r="L53" s="8"/>
      <c r="M53" s="8"/>
      <c r="AJ53" s="8"/>
    </row>
    <row r="54" spans="1:36" ht="15" customHeight="1">
      <c r="A54" s="161"/>
      <c r="B54" s="259" t="s">
        <v>53</v>
      </c>
      <c r="C54" s="172"/>
      <c r="D54" s="139">
        <v>1.7141836275979015E-2</v>
      </c>
      <c r="E54" s="107">
        <v>0.24</v>
      </c>
      <c r="F54" s="139">
        <v>1.0769073757003731E-2</v>
      </c>
      <c r="G54" s="107">
        <v>0.17</v>
      </c>
      <c r="H54" s="139">
        <v>7.2244391824279504E-3</v>
      </c>
      <c r="I54" s="107">
        <v>-0.05</v>
      </c>
      <c r="J54" s="139">
        <v>6.5211053569479788E-2</v>
      </c>
      <c r="K54" s="107">
        <v>0.52</v>
      </c>
      <c r="L54" s="8"/>
      <c r="M54" s="8"/>
      <c r="AJ54" s="8"/>
    </row>
    <row r="55" spans="1:36" ht="15" customHeight="1">
      <c r="A55" s="162"/>
      <c r="B55" s="260" t="s">
        <v>50</v>
      </c>
      <c r="C55" s="169"/>
      <c r="D55" s="137">
        <v>1.5166905564065854E-2</v>
      </c>
      <c r="E55" s="105">
        <v>-0.12</v>
      </c>
      <c r="F55" s="137">
        <v>1.1749194137095315E-2</v>
      </c>
      <c r="G55" s="105">
        <v>0.18</v>
      </c>
      <c r="H55" s="137">
        <v>6.592844950192531E-3</v>
      </c>
      <c r="I55" s="105">
        <v>-0.04</v>
      </c>
      <c r="J55" s="137">
        <v>2.9868922039777427E-2</v>
      </c>
      <c r="K55" s="105">
        <v>-1.48</v>
      </c>
      <c r="L55" s="8"/>
      <c r="M55" s="8"/>
      <c r="AJ55" s="8"/>
    </row>
    <row r="56" spans="1:36" ht="15" customHeight="1">
      <c r="A56" s="163" t="s">
        <v>55</v>
      </c>
      <c r="B56" s="273"/>
      <c r="C56" s="274"/>
      <c r="D56" s="141">
        <v>3.0141517088589048E-3</v>
      </c>
      <c r="E56" s="145">
        <v>0</v>
      </c>
      <c r="F56" s="141">
        <v>1.8959704269088044E-3</v>
      </c>
      <c r="G56" s="145">
        <v>0.02</v>
      </c>
      <c r="H56" s="141">
        <v>1.4277612579756114E-3</v>
      </c>
      <c r="I56" s="145">
        <v>0.01</v>
      </c>
      <c r="J56" s="141">
        <v>1.5237792016144766E-2</v>
      </c>
      <c r="K56" s="145">
        <v>-0.2</v>
      </c>
      <c r="L56" s="8"/>
      <c r="M56" s="8"/>
      <c r="AJ56" s="8"/>
    </row>
    <row r="57" spans="1:36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0"/>
      <c r="M57" s="8"/>
    </row>
    <row r="58" spans="1:36" s="72" customFormat="1" ht="11.25">
      <c r="A58" s="70" t="s">
        <v>143</v>
      </c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39"/>
      <c r="AJ58" s="78"/>
    </row>
    <row r="59" spans="1:36" s="72" customFormat="1" ht="11.25">
      <c r="A59" s="71"/>
      <c r="B59" s="71"/>
      <c r="C59" s="71"/>
      <c r="D59" s="70"/>
      <c r="E59" s="70"/>
      <c r="F59" s="70"/>
      <c r="G59" s="70"/>
      <c r="H59" s="70"/>
      <c r="I59" s="70"/>
      <c r="J59" s="70"/>
      <c r="K59" s="70"/>
      <c r="L59" s="39"/>
      <c r="M59" s="39"/>
      <c r="N59" s="70"/>
      <c r="AJ59" s="78"/>
    </row>
    <row r="60" spans="1:36" s="72" customFormat="1" ht="11.25">
      <c r="A60" s="38" t="s">
        <v>37</v>
      </c>
      <c r="B60" s="38"/>
      <c r="C60" s="38"/>
      <c r="D60" s="39" t="s">
        <v>52</v>
      </c>
      <c r="E60" s="70"/>
      <c r="F60" s="70"/>
      <c r="G60" s="70"/>
      <c r="H60" s="70"/>
      <c r="I60" s="70"/>
      <c r="J60" s="70"/>
      <c r="K60" s="70"/>
      <c r="L60" s="39"/>
      <c r="M60" s="39"/>
      <c r="N60" s="70"/>
      <c r="AJ60" s="78"/>
    </row>
    <row r="61" spans="1:36" s="72" customFormat="1" ht="11.25">
      <c r="A61" s="38" t="s">
        <v>42</v>
      </c>
      <c r="B61" s="38"/>
      <c r="C61" s="38"/>
      <c r="D61" s="39" t="s">
        <v>43</v>
      </c>
      <c r="E61" s="70"/>
      <c r="F61" s="70"/>
      <c r="G61" s="70"/>
      <c r="H61" s="70"/>
      <c r="I61" s="70"/>
      <c r="J61" s="70"/>
      <c r="K61" s="70"/>
      <c r="L61" s="39"/>
      <c r="M61" s="39"/>
      <c r="N61" s="70"/>
      <c r="AJ61" s="78"/>
    </row>
    <row r="62" spans="1:36" s="72" customFormat="1" ht="11.25">
      <c r="A62" s="38" t="s">
        <v>38</v>
      </c>
      <c r="B62" s="38"/>
      <c r="C62" s="38"/>
      <c r="D62" s="39" t="s">
        <v>44</v>
      </c>
      <c r="E62" s="70"/>
      <c r="F62" s="70"/>
      <c r="G62" s="70"/>
      <c r="H62" s="70"/>
      <c r="I62" s="70"/>
      <c r="J62" s="70"/>
      <c r="K62" s="70"/>
      <c r="L62" s="39"/>
      <c r="M62" s="39"/>
      <c r="N62" s="70"/>
      <c r="AJ62" s="78"/>
    </row>
    <row r="63" spans="1:36" s="72" customFormat="1" ht="11.25">
      <c r="A63" s="38" t="s">
        <v>48</v>
      </c>
      <c r="B63" s="38"/>
      <c r="C63" s="38"/>
      <c r="D63" s="39" t="s">
        <v>49</v>
      </c>
      <c r="E63" s="70"/>
      <c r="F63" s="70"/>
      <c r="G63" s="70"/>
      <c r="H63" s="70"/>
      <c r="I63" s="70"/>
      <c r="J63" s="70"/>
      <c r="K63" s="70"/>
      <c r="L63" s="39"/>
      <c r="M63" s="39"/>
      <c r="N63" s="70"/>
      <c r="AJ63" s="78"/>
    </row>
    <row r="64" spans="1:36" s="72" customFormat="1" ht="11.25">
      <c r="A64" s="38" t="s">
        <v>1</v>
      </c>
      <c r="B64" s="38"/>
      <c r="C64" s="38"/>
      <c r="D64" s="39" t="s">
        <v>46</v>
      </c>
      <c r="E64" s="70"/>
      <c r="F64" s="70"/>
      <c r="G64" s="70"/>
      <c r="H64" s="70"/>
      <c r="I64" s="70"/>
      <c r="J64" s="70"/>
      <c r="K64" s="70"/>
      <c r="L64" s="39"/>
      <c r="M64" s="39"/>
      <c r="N64" s="70"/>
      <c r="AJ64" s="78"/>
    </row>
    <row r="65" spans="1:36" s="72" customFormat="1" ht="11.25">
      <c r="A65" s="38"/>
      <c r="B65" s="38"/>
      <c r="C65" s="38"/>
      <c r="D65" s="39" t="s">
        <v>45</v>
      </c>
      <c r="E65" s="70"/>
      <c r="F65" s="70"/>
      <c r="G65" s="70"/>
      <c r="H65" s="70"/>
      <c r="I65" s="70"/>
      <c r="J65" s="70"/>
      <c r="K65" s="70"/>
      <c r="L65" s="39"/>
      <c r="M65" s="39"/>
      <c r="N65" s="70"/>
      <c r="AJ65" s="78"/>
    </row>
    <row r="66" spans="1:36" s="72" customFormat="1" ht="11.25">
      <c r="A66" s="38"/>
      <c r="B66" s="38"/>
      <c r="C66" s="38"/>
      <c r="D66" s="39" t="s">
        <v>47</v>
      </c>
      <c r="E66" s="70"/>
      <c r="F66" s="70"/>
      <c r="G66" s="70"/>
      <c r="H66" s="70"/>
      <c r="I66" s="70"/>
      <c r="J66" s="70"/>
      <c r="K66" s="70"/>
      <c r="L66" s="39"/>
      <c r="M66" s="39"/>
      <c r="N66" s="70"/>
      <c r="AJ66" s="78"/>
    </row>
    <row r="67" spans="1:36" s="72" customFormat="1" ht="11.25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39"/>
      <c r="M67" s="39"/>
      <c r="N67" s="70"/>
      <c r="AJ67" s="78"/>
    </row>
    <row r="68" spans="1:36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0"/>
      <c r="M68" s="40"/>
      <c r="N68" s="44"/>
    </row>
    <row r="69" spans="1:36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8"/>
      <c r="M69" s="8"/>
      <c r="AF69" s="29"/>
      <c r="AJ69" s="8"/>
    </row>
    <row r="70" spans="1:36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8"/>
      <c r="M70" s="8"/>
      <c r="AF70" s="29"/>
      <c r="AJ70" s="8"/>
    </row>
    <row r="71" spans="1:36">
      <c r="L71" s="8"/>
      <c r="M71" s="8"/>
      <c r="AF71" s="29"/>
      <c r="AJ71" s="8"/>
    </row>
  </sheetData>
  <mergeCells count="10">
    <mergeCell ref="A6:B6"/>
    <mergeCell ref="A2:K2"/>
    <mergeCell ref="A1:K1"/>
    <mergeCell ref="A4:A5"/>
    <mergeCell ref="B4:B5"/>
    <mergeCell ref="C4:C5"/>
    <mergeCell ref="D4:E4"/>
    <mergeCell ref="F4:G4"/>
    <mergeCell ref="H4:I4"/>
    <mergeCell ref="J4:K4"/>
  </mergeCells>
  <hyperlinks>
    <hyperlink ref="M1" location="INDICE!Área_de_impresión" display="INDICE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2"/>
  <dimension ref="A1:Q26"/>
  <sheetViews>
    <sheetView showGridLines="0" zoomScale="90" zoomScaleNormal="90" workbookViewId="0">
      <selection sqref="A1:J1"/>
    </sheetView>
  </sheetViews>
  <sheetFormatPr baseColWidth="10" defaultRowHeight="12.75"/>
  <cols>
    <col min="1" max="1" width="20.42578125" style="8" bestFit="1" customWidth="1"/>
    <col min="2" max="2" width="13.7109375" style="23" customWidth="1"/>
    <col min="3" max="4" width="13.7109375" style="8" customWidth="1"/>
    <col min="5" max="6" width="13.7109375" style="2" customWidth="1"/>
    <col min="7" max="10" width="13.7109375" style="8" customWidth="1"/>
    <col min="11" max="11" width="1.7109375" style="8" customWidth="1"/>
    <col min="12" max="12" width="13.7109375" style="8" customWidth="1"/>
    <col min="13" max="16384" width="11.42578125" style="8"/>
  </cols>
  <sheetData>
    <row r="1" spans="1:17" s="30" customFormat="1" ht="30" customHeight="1">
      <c r="A1" s="323" t="s">
        <v>54</v>
      </c>
      <c r="B1" s="324"/>
      <c r="C1" s="324"/>
      <c r="D1" s="324"/>
      <c r="E1" s="324"/>
      <c r="F1" s="324"/>
      <c r="G1" s="324"/>
      <c r="H1" s="324"/>
      <c r="I1" s="324"/>
      <c r="J1" s="325"/>
      <c r="K1" s="5"/>
      <c r="L1" s="31" t="s">
        <v>134</v>
      </c>
      <c r="M1" s="5"/>
      <c r="N1" s="5"/>
      <c r="O1" s="5"/>
      <c r="P1" s="5"/>
      <c r="Q1" s="5"/>
    </row>
    <row r="2" spans="1:17" ht="30" customHeight="1">
      <c r="A2" s="404" t="s">
        <v>314</v>
      </c>
      <c r="B2" s="405"/>
      <c r="C2" s="405"/>
      <c r="D2" s="405"/>
      <c r="E2" s="405"/>
      <c r="F2" s="405"/>
      <c r="G2" s="405"/>
      <c r="H2" s="405"/>
      <c r="I2" s="405"/>
      <c r="J2" s="406"/>
    </row>
    <row r="3" spans="1:17" ht="8.1" customHeight="1"/>
    <row r="4" spans="1:17" ht="15" customHeight="1">
      <c r="A4" s="402" t="s">
        <v>159</v>
      </c>
      <c r="B4" s="399" t="s">
        <v>37</v>
      </c>
      <c r="C4" s="400"/>
      <c r="D4" s="379"/>
      <c r="E4" s="399" t="s">
        <v>39</v>
      </c>
      <c r="F4" s="400"/>
      <c r="G4" s="379"/>
      <c r="H4" s="399" t="s">
        <v>267</v>
      </c>
      <c r="I4" s="400"/>
      <c r="J4" s="401"/>
    </row>
    <row r="5" spans="1:17" ht="15" customHeight="1">
      <c r="A5" s="403"/>
      <c r="B5" s="286" t="s">
        <v>160</v>
      </c>
      <c r="C5" s="286" t="s">
        <v>306</v>
      </c>
      <c r="D5" s="286" t="s">
        <v>307</v>
      </c>
      <c r="E5" s="286" t="s">
        <v>160</v>
      </c>
      <c r="F5" s="286" t="s">
        <v>306</v>
      </c>
      <c r="G5" s="286" t="s">
        <v>307</v>
      </c>
      <c r="H5" s="286" t="s">
        <v>160</v>
      </c>
      <c r="I5" s="286" t="s">
        <v>306</v>
      </c>
      <c r="J5" s="296" t="s">
        <v>307</v>
      </c>
    </row>
    <row r="6" spans="1:17" ht="15" customHeight="1">
      <c r="A6" s="81" t="s">
        <v>0</v>
      </c>
      <c r="B6" s="104">
        <v>60361</v>
      </c>
      <c r="C6" s="86">
        <v>1</v>
      </c>
      <c r="D6" s="86">
        <v>1</v>
      </c>
      <c r="E6" s="104">
        <v>47168</v>
      </c>
      <c r="F6" s="86">
        <v>1</v>
      </c>
      <c r="G6" s="86">
        <v>1</v>
      </c>
      <c r="H6" s="104">
        <v>1246</v>
      </c>
      <c r="I6" s="86">
        <v>1</v>
      </c>
      <c r="J6" s="122">
        <v>1</v>
      </c>
    </row>
    <row r="7" spans="1:17" ht="15" customHeight="1">
      <c r="A7" s="83">
        <v>2024</v>
      </c>
      <c r="B7" s="115">
        <v>874</v>
      </c>
      <c r="C7" s="88">
        <v>1.4479548052550488E-2</v>
      </c>
      <c r="D7" s="88">
        <v>1.4479548052550488E-2</v>
      </c>
      <c r="E7" s="115">
        <v>5488</v>
      </c>
      <c r="F7" s="88">
        <v>0.11635006784260515</v>
      </c>
      <c r="G7" s="88">
        <v>0.11635006784260515</v>
      </c>
      <c r="H7" s="115">
        <v>13</v>
      </c>
      <c r="I7" s="88">
        <v>1.043338683788122E-2</v>
      </c>
      <c r="J7" s="88">
        <v>1.043338683788122E-2</v>
      </c>
    </row>
    <row r="8" spans="1:17" ht="15" customHeight="1">
      <c r="A8" s="84">
        <v>2023</v>
      </c>
      <c r="B8" s="116">
        <v>1663</v>
      </c>
      <c r="C8" s="89">
        <v>2.7550902072530276E-2</v>
      </c>
      <c r="D8" s="89">
        <v>4.2030450125080762E-2</v>
      </c>
      <c r="E8" s="116">
        <v>10557</v>
      </c>
      <c r="F8" s="89">
        <v>0.22381699457259158</v>
      </c>
      <c r="G8" s="89">
        <v>0.34016706241519673</v>
      </c>
      <c r="H8" s="116">
        <v>39</v>
      </c>
      <c r="I8" s="89">
        <v>3.1300160513643663E-2</v>
      </c>
      <c r="J8" s="90">
        <v>4.1733547351524881E-2</v>
      </c>
    </row>
    <row r="9" spans="1:17" ht="15" customHeight="1">
      <c r="A9" s="85">
        <v>2022</v>
      </c>
      <c r="B9" s="118">
        <v>1497</v>
      </c>
      <c r="C9" s="91">
        <v>2.4800781961862792E-2</v>
      </c>
      <c r="D9" s="91">
        <v>6.6831232086943554E-2</v>
      </c>
      <c r="E9" s="118">
        <v>6463</v>
      </c>
      <c r="F9" s="91">
        <v>0.13702086160108548</v>
      </c>
      <c r="G9" s="91">
        <v>0.47718792401628218</v>
      </c>
      <c r="H9" s="118">
        <v>26</v>
      </c>
      <c r="I9" s="91">
        <v>2.0866773675762441E-2</v>
      </c>
      <c r="J9" s="92">
        <v>6.2600321027287326E-2</v>
      </c>
    </row>
    <row r="10" spans="1:17" ht="15" customHeight="1">
      <c r="A10" s="84">
        <v>2021</v>
      </c>
      <c r="B10" s="116">
        <v>1380</v>
      </c>
      <c r="C10" s="89">
        <v>2.2862444293500771E-2</v>
      </c>
      <c r="D10" s="89">
        <v>8.9693676380444329E-2</v>
      </c>
      <c r="E10" s="116">
        <v>4487</v>
      </c>
      <c r="F10" s="89">
        <v>9.5128052917232017E-2</v>
      </c>
      <c r="G10" s="89">
        <v>0.57231597693351421</v>
      </c>
      <c r="H10" s="116">
        <v>24</v>
      </c>
      <c r="I10" s="89">
        <v>1.9261637239165328E-2</v>
      </c>
      <c r="J10" s="90">
        <v>8.186195826645265E-2</v>
      </c>
    </row>
    <row r="11" spans="1:17" ht="15" customHeight="1">
      <c r="A11" s="85">
        <v>2020</v>
      </c>
      <c r="B11" s="118">
        <v>1091</v>
      </c>
      <c r="C11" s="91">
        <v>1.8074584582760393E-2</v>
      </c>
      <c r="D11" s="91">
        <v>0.10776826096320472</v>
      </c>
      <c r="E11" s="118">
        <v>2541</v>
      </c>
      <c r="F11" s="91">
        <v>5.3871268656716417E-2</v>
      </c>
      <c r="G11" s="91">
        <v>0.62618724559023065</v>
      </c>
      <c r="H11" s="118">
        <v>23</v>
      </c>
      <c r="I11" s="91">
        <v>1.8459069020866775E-2</v>
      </c>
      <c r="J11" s="92">
        <v>0.10032102728731943</v>
      </c>
    </row>
    <row r="12" spans="1:17" ht="15" customHeight="1">
      <c r="A12" s="84">
        <v>2019</v>
      </c>
      <c r="B12" s="116">
        <v>1517</v>
      </c>
      <c r="C12" s="89">
        <v>2.513212173423237E-2</v>
      </c>
      <c r="D12" s="89">
        <v>0.13290038269743709</v>
      </c>
      <c r="E12" s="116">
        <v>2608</v>
      </c>
      <c r="F12" s="89">
        <v>5.5291723202170961E-2</v>
      </c>
      <c r="G12" s="89">
        <v>0.68147896879240166</v>
      </c>
      <c r="H12" s="116">
        <v>23</v>
      </c>
      <c r="I12" s="89">
        <v>1.8459069020866775E-2</v>
      </c>
      <c r="J12" s="90">
        <v>0.1187800963081862</v>
      </c>
    </row>
    <row r="13" spans="1:17" ht="15" customHeight="1">
      <c r="A13" s="85">
        <v>2018</v>
      </c>
      <c r="B13" s="118">
        <v>2820</v>
      </c>
      <c r="C13" s="91">
        <v>4.671890790411027E-2</v>
      </c>
      <c r="D13" s="91">
        <v>0.17961929060154735</v>
      </c>
      <c r="E13" s="118">
        <v>3581</v>
      </c>
      <c r="F13" s="91">
        <v>7.5920115332428761E-2</v>
      </c>
      <c r="G13" s="91">
        <v>0.75739908412483037</v>
      </c>
      <c r="H13" s="118">
        <v>51</v>
      </c>
      <c r="I13" s="91">
        <v>4.0930979133226325E-2</v>
      </c>
      <c r="J13" s="92">
        <v>0.15971107544141253</v>
      </c>
    </row>
    <row r="14" spans="1:17" ht="15" customHeight="1">
      <c r="A14" s="84">
        <v>2017</v>
      </c>
      <c r="B14" s="116">
        <v>3047</v>
      </c>
      <c r="C14" s="89">
        <v>5.0479614320504962E-2</v>
      </c>
      <c r="D14" s="89">
        <v>0.23009890492205232</v>
      </c>
      <c r="E14" s="116">
        <v>2994</v>
      </c>
      <c r="F14" s="89">
        <v>6.3475237449118052E-2</v>
      </c>
      <c r="G14" s="89">
        <v>0.82087432157394846</v>
      </c>
      <c r="H14" s="116">
        <v>41</v>
      </c>
      <c r="I14" s="89">
        <v>3.2905296950240769E-2</v>
      </c>
      <c r="J14" s="90">
        <v>0.1926163723916533</v>
      </c>
    </row>
    <row r="15" spans="1:17" ht="15" customHeight="1">
      <c r="A15" s="85">
        <v>2016</v>
      </c>
      <c r="B15" s="118">
        <v>2698</v>
      </c>
      <c r="C15" s="91">
        <v>4.4697735292655853E-2</v>
      </c>
      <c r="D15" s="91">
        <v>0.27479664021470818</v>
      </c>
      <c r="E15" s="118">
        <v>1580</v>
      </c>
      <c r="F15" s="91">
        <v>3.3497286295793759E-2</v>
      </c>
      <c r="G15" s="91">
        <v>0.8543716078697422</v>
      </c>
      <c r="H15" s="118">
        <v>60</v>
      </c>
      <c r="I15" s="91">
        <v>4.8154093097913325E-2</v>
      </c>
      <c r="J15" s="92">
        <v>0.24077046548956663</v>
      </c>
    </row>
    <row r="16" spans="1:17" ht="15" customHeight="1">
      <c r="A16" s="84">
        <v>2015</v>
      </c>
      <c r="B16" s="116">
        <v>2321</v>
      </c>
      <c r="C16" s="89">
        <v>3.8451980583489337E-2</v>
      </c>
      <c r="D16" s="89">
        <v>0.31324862079819749</v>
      </c>
      <c r="E16" s="116">
        <v>1259</v>
      </c>
      <c r="F16" s="89">
        <v>2.6691824966078699E-2</v>
      </c>
      <c r="G16" s="89">
        <v>0.88106343283582089</v>
      </c>
      <c r="H16" s="116">
        <v>83</v>
      </c>
      <c r="I16" s="89">
        <v>6.66131621187801E-2</v>
      </c>
      <c r="J16" s="90">
        <v>0.3073836276083467</v>
      </c>
    </row>
    <row r="17" spans="1:10" ht="15" customHeight="1">
      <c r="A17" s="85">
        <v>2014</v>
      </c>
      <c r="B17" s="118">
        <v>2726</v>
      </c>
      <c r="C17" s="91">
        <v>4.5161610973973261E-2</v>
      </c>
      <c r="D17" s="91">
        <v>0.35841023177217074</v>
      </c>
      <c r="E17" s="118">
        <v>1061</v>
      </c>
      <c r="F17" s="91">
        <v>2.2494063772048847E-2</v>
      </c>
      <c r="G17" s="91">
        <v>0.90355749660786977</v>
      </c>
      <c r="H17" s="118">
        <v>64</v>
      </c>
      <c r="I17" s="91">
        <v>5.1364365971107544E-2</v>
      </c>
      <c r="J17" s="92">
        <v>0.35874799357945425</v>
      </c>
    </row>
    <row r="18" spans="1:10" ht="15" customHeight="1">
      <c r="A18" s="84">
        <v>2013</v>
      </c>
      <c r="B18" s="116">
        <v>3968</v>
      </c>
      <c r="C18" s="89">
        <v>6.5737810838123953E-2</v>
      </c>
      <c r="D18" s="89">
        <v>0.42414804261029471</v>
      </c>
      <c r="E18" s="116">
        <v>1127</v>
      </c>
      <c r="F18" s="89">
        <v>2.3893317503392131E-2</v>
      </c>
      <c r="G18" s="89">
        <v>0.92745081411126185</v>
      </c>
      <c r="H18" s="116">
        <v>90</v>
      </c>
      <c r="I18" s="89">
        <v>7.2231139646869988E-2</v>
      </c>
      <c r="J18" s="90">
        <v>0.43097913322632425</v>
      </c>
    </row>
    <row r="19" spans="1:10" ht="15" customHeight="1">
      <c r="A19" s="85">
        <v>2012</v>
      </c>
      <c r="B19" s="118">
        <v>3859</v>
      </c>
      <c r="C19" s="91">
        <v>6.3932009078709759E-2</v>
      </c>
      <c r="D19" s="91">
        <v>0.48808005168900448</v>
      </c>
      <c r="E19" s="118">
        <v>622</v>
      </c>
      <c r="F19" s="91">
        <v>1.3186906377204885E-2</v>
      </c>
      <c r="G19" s="91">
        <v>0.94063772048846672</v>
      </c>
      <c r="H19" s="118">
        <v>93</v>
      </c>
      <c r="I19" s="91">
        <v>7.463884430176565E-2</v>
      </c>
      <c r="J19" s="92">
        <v>0.5056179775280899</v>
      </c>
    </row>
    <row r="20" spans="1:10" ht="15" customHeight="1">
      <c r="A20" s="84">
        <v>2011</v>
      </c>
      <c r="B20" s="116">
        <v>3788</v>
      </c>
      <c r="C20" s="89">
        <v>6.2755752886797772E-2</v>
      </c>
      <c r="D20" s="89">
        <v>0.55083580457580228</v>
      </c>
      <c r="E20" s="116">
        <v>435</v>
      </c>
      <c r="F20" s="89">
        <v>9.2223541383989142E-3</v>
      </c>
      <c r="G20" s="89">
        <v>0.94986007462686561</v>
      </c>
      <c r="H20" s="116">
        <v>82</v>
      </c>
      <c r="I20" s="89">
        <v>6.5810593900481537E-2</v>
      </c>
      <c r="J20" s="90">
        <v>0.5714285714285714</v>
      </c>
    </row>
    <row r="21" spans="1:10" ht="15" customHeight="1">
      <c r="A21" s="85">
        <v>2010</v>
      </c>
      <c r="B21" s="118">
        <v>2965</v>
      </c>
      <c r="C21" s="91">
        <v>4.9121121253789701E-2</v>
      </c>
      <c r="D21" s="91">
        <v>0.59995692582959204</v>
      </c>
      <c r="E21" s="118">
        <v>228</v>
      </c>
      <c r="F21" s="91">
        <v>4.8337856173677066E-3</v>
      </c>
      <c r="G21" s="91">
        <v>0.95469386024423331</v>
      </c>
      <c r="H21" s="118">
        <v>71</v>
      </c>
      <c r="I21" s="91">
        <v>5.6982343499197431E-2</v>
      </c>
      <c r="J21" s="92">
        <v>0.62841091492776879</v>
      </c>
    </row>
    <row r="22" spans="1:10" ht="15" customHeight="1">
      <c r="A22" s="84">
        <v>2009</v>
      </c>
      <c r="B22" s="116">
        <v>2408</v>
      </c>
      <c r="C22" s="89">
        <v>3.9893308593296997E-2</v>
      </c>
      <c r="D22" s="89">
        <v>0.63985023442288902</v>
      </c>
      <c r="E22" s="116">
        <v>148</v>
      </c>
      <c r="F22" s="89">
        <v>3.1377204884667572E-3</v>
      </c>
      <c r="G22" s="89">
        <v>0.95783158073270003</v>
      </c>
      <c r="H22" s="116">
        <v>35</v>
      </c>
      <c r="I22" s="89">
        <v>2.8089887640449437E-2</v>
      </c>
      <c r="J22" s="90">
        <v>0.65650080256821819</v>
      </c>
    </row>
    <row r="23" spans="1:10" ht="15" customHeight="1">
      <c r="A23" s="85">
        <v>2008</v>
      </c>
      <c r="B23" s="118">
        <v>2648</v>
      </c>
      <c r="C23" s="91">
        <v>4.3869385861731912E-2</v>
      </c>
      <c r="D23" s="91">
        <v>0.68371962028462097</v>
      </c>
      <c r="E23" s="118">
        <v>155</v>
      </c>
      <c r="F23" s="91">
        <v>3.28612618724559E-3</v>
      </c>
      <c r="G23" s="91">
        <v>0.96111770691994558</v>
      </c>
      <c r="H23" s="118">
        <v>57</v>
      </c>
      <c r="I23" s="91">
        <v>4.5746388443017656E-2</v>
      </c>
      <c r="J23" s="92">
        <v>0.70224719101123589</v>
      </c>
    </row>
    <row r="24" spans="1:10" ht="15" customHeight="1">
      <c r="A24" s="84">
        <v>2007</v>
      </c>
      <c r="B24" s="116">
        <v>2637</v>
      </c>
      <c r="C24" s="89">
        <v>4.3687148986928645E-2</v>
      </c>
      <c r="D24" s="89">
        <v>0.72740676927154957</v>
      </c>
      <c r="E24" s="116">
        <v>64</v>
      </c>
      <c r="F24" s="89">
        <v>1.3568521031207597E-3</v>
      </c>
      <c r="G24" s="89">
        <v>0.96247455902306633</v>
      </c>
      <c r="H24" s="116">
        <v>49</v>
      </c>
      <c r="I24" s="89">
        <v>3.9325842696629212E-2</v>
      </c>
      <c r="J24" s="90">
        <v>0.74157303370786509</v>
      </c>
    </row>
    <row r="25" spans="1:10" ht="15" customHeight="1">
      <c r="A25" s="85">
        <v>2006</v>
      </c>
      <c r="B25" s="118">
        <v>2267</v>
      </c>
      <c r="C25" s="91">
        <v>3.7557363198091484E-2</v>
      </c>
      <c r="D25" s="91">
        <v>0.76496413246964101</v>
      </c>
      <c r="E25" s="118">
        <v>44</v>
      </c>
      <c r="F25" s="91">
        <v>9.3283582089552237E-4</v>
      </c>
      <c r="G25" s="91">
        <v>0.96340739484396187</v>
      </c>
      <c r="H25" s="118">
        <v>58</v>
      </c>
      <c r="I25" s="91">
        <v>4.6548956661316213E-2</v>
      </c>
      <c r="J25" s="92">
        <v>0.78812199036918129</v>
      </c>
    </row>
    <row r="26" spans="1:10" ht="15" customHeight="1">
      <c r="A26" s="128" t="s">
        <v>161</v>
      </c>
      <c r="B26" s="129">
        <v>14187</v>
      </c>
      <c r="C26" s="136">
        <v>0.23503586753035902</v>
      </c>
      <c r="D26" s="136">
        <v>1</v>
      </c>
      <c r="E26" s="129">
        <v>1726</v>
      </c>
      <c r="F26" s="136">
        <v>3.6592605156037995E-2</v>
      </c>
      <c r="G26" s="136">
        <v>0.99999999999999989</v>
      </c>
      <c r="H26" s="129">
        <v>264</v>
      </c>
      <c r="I26" s="136">
        <v>0.21187800963081863</v>
      </c>
      <c r="J26" s="277">
        <v>0.99999999999999989</v>
      </c>
    </row>
  </sheetData>
  <mergeCells count="6">
    <mergeCell ref="B4:D4"/>
    <mergeCell ref="E4:G4"/>
    <mergeCell ref="H4:J4"/>
    <mergeCell ref="A4:A5"/>
    <mergeCell ref="A1:J1"/>
    <mergeCell ref="A2:J2"/>
  </mergeCells>
  <hyperlinks>
    <hyperlink ref="L1" location="INDICE!Área_de_impresión" display="INDICE"/>
  </hyperlinks>
  <pageMargins left="0.7" right="0.7" top="0.75" bottom="0.75" header="0.3" footer="0.3"/>
  <pageSetup orientation="portrait" horizontalDpi="4294967295" verticalDpi="4294967295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3"/>
  <dimension ref="A1:P34"/>
  <sheetViews>
    <sheetView showGridLines="0" zoomScale="90" zoomScaleNormal="90" workbookViewId="0">
      <selection sqref="A1:C1"/>
    </sheetView>
  </sheetViews>
  <sheetFormatPr baseColWidth="10" defaultRowHeight="12.75"/>
  <cols>
    <col min="1" max="1" width="19.7109375" style="8" customWidth="1"/>
    <col min="2" max="2" width="29.5703125" style="8" customWidth="1"/>
    <col min="3" max="3" width="38.140625" style="8" customWidth="1"/>
    <col min="4" max="4" width="1.7109375" style="2" customWidth="1"/>
    <col min="5" max="5" width="13.7109375" style="2" customWidth="1"/>
    <col min="6" max="6" width="30.5703125" style="8" customWidth="1"/>
    <col min="7" max="7" width="26.7109375" style="8" customWidth="1"/>
    <col min="8" max="16384" width="11.42578125" style="8"/>
  </cols>
  <sheetData>
    <row r="1" spans="1:16" s="30" customFormat="1" ht="30" customHeight="1">
      <c r="A1" s="323" t="s">
        <v>54</v>
      </c>
      <c r="B1" s="324"/>
      <c r="C1" s="325"/>
      <c r="D1" s="8"/>
      <c r="E1" s="31" t="s">
        <v>134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6" customHeight="1">
      <c r="A2" s="407" t="s">
        <v>302</v>
      </c>
      <c r="B2" s="408"/>
      <c r="C2" s="409"/>
      <c r="D2" s="19"/>
    </row>
    <row r="3" spans="1:16" ht="8.1" customHeight="1">
      <c r="D3" s="8"/>
      <c r="E3" s="8"/>
    </row>
    <row r="4" spans="1:16" ht="15" customHeight="1">
      <c r="A4" s="279" t="s">
        <v>162</v>
      </c>
      <c r="B4" s="280" t="s">
        <v>163</v>
      </c>
      <c r="C4" s="281" t="s">
        <v>164</v>
      </c>
      <c r="D4" s="8"/>
      <c r="E4" s="8"/>
    </row>
    <row r="5" spans="1:16" ht="15" customHeight="1">
      <c r="A5" s="83">
        <v>1</v>
      </c>
      <c r="B5" s="115" t="s">
        <v>165</v>
      </c>
      <c r="C5" s="278" t="s">
        <v>166</v>
      </c>
      <c r="D5" s="8"/>
      <c r="E5" s="8"/>
    </row>
    <row r="6" spans="1:16" ht="15" customHeight="1">
      <c r="A6" s="84">
        <v>2</v>
      </c>
      <c r="B6" s="116" t="s">
        <v>169</v>
      </c>
      <c r="C6" s="282" t="s">
        <v>172</v>
      </c>
      <c r="D6" s="8"/>
      <c r="E6" s="8"/>
    </row>
    <row r="7" spans="1:16" ht="15" customHeight="1">
      <c r="A7" s="85">
        <v>3</v>
      </c>
      <c r="B7" s="118" t="s">
        <v>177</v>
      </c>
      <c r="C7" s="283" t="s">
        <v>178</v>
      </c>
      <c r="D7" s="8"/>
      <c r="E7" s="8"/>
    </row>
    <row r="8" spans="1:16" ht="15" customHeight="1">
      <c r="A8" s="84">
        <v>4</v>
      </c>
      <c r="B8" s="116" t="s">
        <v>167</v>
      </c>
      <c r="C8" s="282" t="s">
        <v>168</v>
      </c>
      <c r="D8" s="8"/>
      <c r="E8" s="8"/>
    </row>
    <row r="9" spans="1:16" ht="15" customHeight="1">
      <c r="A9" s="85">
        <v>5</v>
      </c>
      <c r="B9" s="118" t="s">
        <v>173</v>
      </c>
      <c r="C9" s="283" t="s">
        <v>174</v>
      </c>
      <c r="D9" s="8"/>
      <c r="E9" s="8"/>
    </row>
    <row r="10" spans="1:16" ht="15" customHeight="1">
      <c r="A10" s="84">
        <v>6</v>
      </c>
      <c r="B10" s="116" t="s">
        <v>167</v>
      </c>
      <c r="C10" s="282" t="s">
        <v>171</v>
      </c>
      <c r="D10" s="8"/>
      <c r="E10" s="8"/>
    </row>
    <row r="11" spans="1:16" ht="15" customHeight="1">
      <c r="A11" s="85">
        <v>7</v>
      </c>
      <c r="B11" s="118" t="s">
        <v>175</v>
      </c>
      <c r="C11" s="283" t="s">
        <v>176</v>
      </c>
      <c r="D11" s="8"/>
      <c r="E11" s="8"/>
    </row>
    <row r="12" spans="1:16" ht="15" customHeight="1">
      <c r="A12" s="84">
        <v>8</v>
      </c>
      <c r="B12" s="116" t="s">
        <v>169</v>
      </c>
      <c r="C12" s="282" t="s">
        <v>170</v>
      </c>
      <c r="D12" s="8"/>
      <c r="E12" s="8"/>
    </row>
    <row r="13" spans="1:16" ht="15" customHeight="1">
      <c r="A13" s="85">
        <v>9</v>
      </c>
      <c r="B13" s="118" t="s">
        <v>173</v>
      </c>
      <c r="C13" s="283" t="s">
        <v>180</v>
      </c>
      <c r="D13" s="8"/>
      <c r="E13" s="8"/>
    </row>
    <row r="14" spans="1:16" ht="15" customHeight="1">
      <c r="A14" s="84">
        <v>10</v>
      </c>
      <c r="B14" s="116" t="s">
        <v>175</v>
      </c>
      <c r="C14" s="282" t="s">
        <v>179</v>
      </c>
      <c r="D14" s="8"/>
      <c r="E14" s="8"/>
    </row>
    <row r="15" spans="1:16" ht="15" customHeight="1">
      <c r="A15" s="85">
        <v>11</v>
      </c>
      <c r="B15" s="118" t="s">
        <v>165</v>
      </c>
      <c r="C15" s="283" t="s">
        <v>183</v>
      </c>
      <c r="D15" s="8"/>
      <c r="E15" s="8"/>
    </row>
    <row r="16" spans="1:16" ht="15" customHeight="1">
      <c r="A16" s="84">
        <v>12</v>
      </c>
      <c r="B16" s="116" t="s">
        <v>173</v>
      </c>
      <c r="C16" s="282" t="s">
        <v>182</v>
      </c>
      <c r="D16" s="8"/>
      <c r="E16" s="8"/>
    </row>
    <row r="17" spans="1:5" ht="15" customHeight="1">
      <c r="A17" s="85">
        <v>13</v>
      </c>
      <c r="B17" s="118" t="s">
        <v>184</v>
      </c>
      <c r="C17" s="283" t="s">
        <v>185</v>
      </c>
      <c r="D17" s="8"/>
      <c r="E17" s="8"/>
    </row>
    <row r="18" spans="1:5" ht="15" customHeight="1">
      <c r="A18" s="84">
        <v>14</v>
      </c>
      <c r="B18" s="116" t="s">
        <v>173</v>
      </c>
      <c r="C18" s="282" t="s">
        <v>187</v>
      </c>
      <c r="D18" s="8"/>
      <c r="E18" s="8"/>
    </row>
    <row r="19" spans="1:5" ht="15" customHeight="1">
      <c r="A19" s="85">
        <v>15</v>
      </c>
      <c r="B19" s="118" t="s">
        <v>167</v>
      </c>
      <c r="C19" s="283" t="s">
        <v>186</v>
      </c>
      <c r="D19" s="8"/>
      <c r="E19" s="8"/>
    </row>
    <row r="20" spans="1:5" ht="15" customHeight="1">
      <c r="A20" s="84">
        <v>16</v>
      </c>
      <c r="B20" s="116" t="s">
        <v>184</v>
      </c>
      <c r="C20" s="282">
        <v>207</v>
      </c>
      <c r="D20" s="8"/>
      <c r="E20" s="8"/>
    </row>
    <row r="21" spans="1:5" ht="15" customHeight="1">
      <c r="A21" s="85">
        <v>17</v>
      </c>
      <c r="B21" s="118" t="s">
        <v>184</v>
      </c>
      <c r="C21" s="283">
        <v>206</v>
      </c>
      <c r="D21" s="8"/>
      <c r="E21" s="8"/>
    </row>
    <row r="22" spans="1:5" ht="15" customHeight="1">
      <c r="A22" s="84">
        <v>18</v>
      </c>
      <c r="B22" s="116" t="s">
        <v>175</v>
      </c>
      <c r="C22" s="282" t="s">
        <v>181</v>
      </c>
      <c r="D22" s="8"/>
      <c r="E22" s="8"/>
    </row>
    <row r="23" spans="1:5" ht="15" customHeight="1">
      <c r="A23" s="85">
        <v>19</v>
      </c>
      <c r="B23" s="118" t="s">
        <v>173</v>
      </c>
      <c r="C23" s="283" t="s">
        <v>189</v>
      </c>
      <c r="D23" s="8"/>
      <c r="E23" s="8"/>
    </row>
    <row r="24" spans="1:5" ht="15" customHeight="1">
      <c r="A24" s="84">
        <v>20</v>
      </c>
      <c r="B24" s="116" t="s">
        <v>184</v>
      </c>
      <c r="C24" s="282">
        <v>208</v>
      </c>
      <c r="D24" s="8"/>
      <c r="E24" s="8"/>
    </row>
    <row r="25" spans="1:5" ht="15" customHeight="1">
      <c r="A25" s="85">
        <v>21</v>
      </c>
      <c r="B25" s="118" t="s">
        <v>165</v>
      </c>
      <c r="C25" s="283" t="s">
        <v>193</v>
      </c>
      <c r="D25" s="8"/>
      <c r="E25" s="8"/>
    </row>
    <row r="26" spans="1:5" ht="15" customHeight="1">
      <c r="A26" s="84">
        <v>22</v>
      </c>
      <c r="B26" s="116" t="s">
        <v>165</v>
      </c>
      <c r="C26" s="282" t="s">
        <v>190</v>
      </c>
      <c r="D26" s="8"/>
      <c r="E26" s="8"/>
    </row>
    <row r="27" spans="1:5" ht="15" customHeight="1">
      <c r="A27" s="85">
        <v>23</v>
      </c>
      <c r="B27" s="118" t="s">
        <v>177</v>
      </c>
      <c r="C27" s="283" t="s">
        <v>308</v>
      </c>
      <c r="D27" s="8"/>
      <c r="E27" s="8"/>
    </row>
    <row r="28" spans="1:5" ht="15" customHeight="1">
      <c r="A28" s="84">
        <v>24</v>
      </c>
      <c r="B28" s="116" t="s">
        <v>191</v>
      </c>
      <c r="C28" s="282" t="s">
        <v>192</v>
      </c>
      <c r="D28" s="8"/>
      <c r="E28" s="8"/>
    </row>
    <row r="29" spans="1:5" ht="15" customHeight="1">
      <c r="A29" s="85">
        <v>25</v>
      </c>
      <c r="B29" s="118" t="s">
        <v>175</v>
      </c>
      <c r="C29" s="283" t="s">
        <v>309</v>
      </c>
      <c r="D29" s="8"/>
      <c r="E29" s="8"/>
    </row>
    <row r="30" spans="1:5" ht="15" customHeight="1">
      <c r="A30" s="84">
        <v>26</v>
      </c>
      <c r="B30" s="116" t="s">
        <v>191</v>
      </c>
      <c r="C30" s="282" t="s">
        <v>310</v>
      </c>
      <c r="D30" s="8"/>
      <c r="E30" s="8"/>
    </row>
    <row r="31" spans="1:5" ht="15" customHeight="1">
      <c r="A31" s="85">
        <v>27</v>
      </c>
      <c r="B31" s="118" t="s">
        <v>175</v>
      </c>
      <c r="C31" s="283" t="s">
        <v>188</v>
      </c>
      <c r="D31" s="8"/>
      <c r="E31" s="8"/>
    </row>
    <row r="32" spans="1:5" ht="15" customHeight="1">
      <c r="A32" s="84">
        <v>28</v>
      </c>
      <c r="B32" s="116" t="s">
        <v>165</v>
      </c>
      <c r="C32" s="282" t="s">
        <v>195</v>
      </c>
      <c r="D32" s="8"/>
      <c r="E32" s="8"/>
    </row>
    <row r="33" spans="1:5" ht="15" customHeight="1">
      <c r="A33" s="85">
        <v>29</v>
      </c>
      <c r="B33" s="118" t="s">
        <v>169</v>
      </c>
      <c r="C33" s="283" t="s">
        <v>311</v>
      </c>
      <c r="D33" s="8"/>
      <c r="E33" s="8"/>
    </row>
    <row r="34" spans="1:5" ht="15" customHeight="1">
      <c r="A34" s="128">
        <v>30</v>
      </c>
      <c r="B34" s="129" t="s">
        <v>167</v>
      </c>
      <c r="C34" s="284" t="s">
        <v>194</v>
      </c>
      <c r="D34" s="8"/>
      <c r="E34" s="8"/>
    </row>
  </sheetData>
  <mergeCells count="2">
    <mergeCell ref="A2:C2"/>
    <mergeCell ref="A1:C1"/>
  </mergeCells>
  <hyperlinks>
    <hyperlink ref="E1" location="INDICE!Área_de_impresión" display="INDICE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4"/>
  <dimension ref="A1:P24"/>
  <sheetViews>
    <sheetView showGridLines="0" workbookViewId="0">
      <selection activeCell="E1" sqref="E1"/>
    </sheetView>
  </sheetViews>
  <sheetFormatPr baseColWidth="10" defaultRowHeight="12.75"/>
  <cols>
    <col min="1" max="1" width="19.7109375" style="8" customWidth="1"/>
    <col min="2" max="2" width="16.7109375" style="8" customWidth="1"/>
    <col min="3" max="3" width="22.85546875" style="8" customWidth="1"/>
    <col min="4" max="4" width="1.7109375" style="2" customWidth="1"/>
    <col min="5" max="5" width="13.7109375" style="2" customWidth="1"/>
    <col min="6" max="16384" width="11.42578125" style="8"/>
  </cols>
  <sheetData>
    <row r="1" spans="1:16" s="30" customFormat="1" ht="30" customHeight="1">
      <c r="A1" s="35" t="s">
        <v>54</v>
      </c>
      <c r="B1" s="36"/>
      <c r="C1" s="37"/>
      <c r="D1" s="8"/>
      <c r="E1" s="31" t="s">
        <v>134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4.5" customHeight="1">
      <c r="A2" s="410" t="s">
        <v>303</v>
      </c>
      <c r="B2" s="411"/>
      <c r="C2" s="412"/>
      <c r="D2" s="19"/>
    </row>
    <row r="3" spans="1:16" ht="8.1" customHeight="1">
      <c r="A3" s="44"/>
      <c r="B3" s="44"/>
      <c r="C3" s="44"/>
    </row>
    <row r="4" spans="1:16" ht="15" customHeight="1">
      <c r="A4" s="279" t="s">
        <v>162</v>
      </c>
      <c r="B4" s="280" t="s">
        <v>163</v>
      </c>
      <c r="C4" s="281" t="s">
        <v>164</v>
      </c>
      <c r="D4" s="8"/>
      <c r="E4" s="8"/>
    </row>
    <row r="5" spans="1:16" ht="15" customHeight="1">
      <c r="A5" s="83">
        <v>1</v>
      </c>
      <c r="B5" s="115" t="s">
        <v>196</v>
      </c>
      <c r="C5" s="278" t="s">
        <v>197</v>
      </c>
      <c r="D5" s="8"/>
      <c r="E5" s="8"/>
    </row>
    <row r="6" spans="1:16" ht="15" customHeight="1">
      <c r="A6" s="84">
        <v>2</v>
      </c>
      <c r="B6" s="116" t="s">
        <v>199</v>
      </c>
      <c r="C6" s="282" t="s">
        <v>200</v>
      </c>
      <c r="D6" s="8"/>
      <c r="E6" s="8"/>
    </row>
    <row r="7" spans="1:16" ht="15" customHeight="1">
      <c r="A7" s="85">
        <v>3</v>
      </c>
      <c r="B7" s="118" t="s">
        <v>196</v>
      </c>
      <c r="C7" s="283" t="s">
        <v>198</v>
      </c>
      <c r="D7" s="8"/>
      <c r="E7" s="8"/>
    </row>
    <row r="8" spans="1:16" ht="15" customHeight="1">
      <c r="A8" s="84">
        <v>4</v>
      </c>
      <c r="B8" s="116" t="s">
        <v>202</v>
      </c>
      <c r="C8" s="282" t="s">
        <v>203</v>
      </c>
      <c r="D8" s="8"/>
      <c r="E8" s="8"/>
    </row>
    <row r="9" spans="1:16" ht="15" customHeight="1">
      <c r="A9" s="85">
        <v>5</v>
      </c>
      <c r="B9" s="118" t="s">
        <v>207</v>
      </c>
      <c r="C9" s="283" t="s">
        <v>208</v>
      </c>
      <c r="D9" s="8"/>
      <c r="E9" s="8"/>
    </row>
    <row r="10" spans="1:16" ht="15" customHeight="1">
      <c r="A10" s="84">
        <v>6</v>
      </c>
      <c r="B10" s="116" t="s">
        <v>196</v>
      </c>
      <c r="C10" s="282" t="s">
        <v>211</v>
      </c>
      <c r="D10" s="8"/>
      <c r="E10" s="8"/>
    </row>
    <row r="11" spans="1:16" ht="15" customHeight="1">
      <c r="A11" s="85">
        <v>7</v>
      </c>
      <c r="B11" s="118" t="s">
        <v>196</v>
      </c>
      <c r="C11" s="283" t="s">
        <v>201</v>
      </c>
      <c r="D11" s="8"/>
      <c r="E11" s="8"/>
    </row>
    <row r="12" spans="1:16" ht="15" customHeight="1">
      <c r="A12" s="84">
        <v>8</v>
      </c>
      <c r="B12" s="116" t="s">
        <v>204</v>
      </c>
      <c r="C12" s="282" t="s">
        <v>205</v>
      </c>
      <c r="D12" s="8"/>
      <c r="E12" s="8"/>
    </row>
    <row r="13" spans="1:16" ht="15" customHeight="1">
      <c r="A13" s="85">
        <v>9</v>
      </c>
      <c r="B13" s="118" t="s">
        <v>212</v>
      </c>
      <c r="C13" s="283" t="s">
        <v>213</v>
      </c>
      <c r="D13" s="8"/>
      <c r="E13" s="8"/>
    </row>
    <row r="14" spans="1:16" ht="15" customHeight="1">
      <c r="A14" s="84">
        <v>10</v>
      </c>
      <c r="B14" s="116" t="s">
        <v>196</v>
      </c>
      <c r="C14" s="282" t="s">
        <v>214</v>
      </c>
      <c r="D14" s="8"/>
      <c r="E14" s="8"/>
    </row>
    <row r="15" spans="1:16" ht="15" customHeight="1">
      <c r="A15" s="85">
        <v>11</v>
      </c>
      <c r="B15" s="118" t="s">
        <v>209</v>
      </c>
      <c r="C15" s="283" t="s">
        <v>210</v>
      </c>
      <c r="D15" s="8"/>
      <c r="E15" s="8"/>
    </row>
    <row r="16" spans="1:16" ht="15" customHeight="1">
      <c r="A16" s="84">
        <v>12</v>
      </c>
      <c r="B16" s="116" t="s">
        <v>204</v>
      </c>
      <c r="C16" s="282" t="s">
        <v>206</v>
      </c>
      <c r="D16" s="8"/>
      <c r="E16" s="8"/>
    </row>
    <row r="17" spans="1:5" ht="15" customHeight="1">
      <c r="A17" s="85">
        <v>13</v>
      </c>
      <c r="B17" s="118" t="s">
        <v>218</v>
      </c>
      <c r="C17" s="283" t="s">
        <v>219</v>
      </c>
      <c r="D17" s="8"/>
      <c r="E17" s="8"/>
    </row>
    <row r="18" spans="1:5" ht="15" customHeight="1">
      <c r="A18" s="84">
        <v>14</v>
      </c>
      <c r="B18" s="116" t="s">
        <v>209</v>
      </c>
      <c r="C18" s="282" t="s">
        <v>222</v>
      </c>
      <c r="D18" s="8"/>
      <c r="E18" s="8"/>
    </row>
    <row r="19" spans="1:5" ht="15" customHeight="1">
      <c r="A19" s="85">
        <v>15</v>
      </c>
      <c r="B19" s="118" t="s">
        <v>215</v>
      </c>
      <c r="C19" s="283" t="s">
        <v>216</v>
      </c>
      <c r="D19" s="8"/>
      <c r="E19" s="8"/>
    </row>
    <row r="20" spans="1:5" ht="15" customHeight="1">
      <c r="A20" s="84">
        <v>16</v>
      </c>
      <c r="B20" s="116" t="s">
        <v>199</v>
      </c>
      <c r="C20" s="282" t="s">
        <v>217</v>
      </c>
      <c r="D20" s="8"/>
      <c r="E20" s="8"/>
    </row>
    <row r="21" spans="1:5" ht="15" customHeight="1">
      <c r="A21" s="85">
        <v>17</v>
      </c>
      <c r="B21" s="118" t="s">
        <v>207</v>
      </c>
      <c r="C21" s="283" t="s">
        <v>221</v>
      </c>
      <c r="D21" s="8"/>
      <c r="E21" s="8"/>
    </row>
    <row r="22" spans="1:5" ht="15" customHeight="1">
      <c r="A22" s="84">
        <v>18</v>
      </c>
      <c r="B22" s="116" t="s">
        <v>312</v>
      </c>
      <c r="C22" s="282" t="s">
        <v>313</v>
      </c>
      <c r="D22" s="8"/>
      <c r="E22" s="8"/>
    </row>
    <row r="23" spans="1:5" ht="15" customHeight="1">
      <c r="A23" s="85">
        <v>19</v>
      </c>
      <c r="B23" s="118" t="s">
        <v>204</v>
      </c>
      <c r="C23" s="283" t="s">
        <v>220</v>
      </c>
      <c r="D23" s="8"/>
      <c r="E23" s="8"/>
    </row>
    <row r="24" spans="1:5" ht="15" customHeight="1">
      <c r="A24" s="128">
        <v>20</v>
      </c>
      <c r="B24" s="129" t="s">
        <v>196</v>
      </c>
      <c r="C24" s="284" t="s">
        <v>223</v>
      </c>
      <c r="D24" s="8"/>
      <c r="E24" s="8"/>
    </row>
  </sheetData>
  <mergeCells count="1">
    <mergeCell ref="A2:C2"/>
  </mergeCells>
  <hyperlinks>
    <hyperlink ref="E1" location="INDICE!Área_de_impresión" display="INDIC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34</vt:i4>
      </vt:variant>
      <vt:variant>
        <vt:lpstr>Rangos con nombre</vt:lpstr>
      </vt:variant>
      <vt:variant>
        <vt:i4>6</vt:i4>
      </vt:variant>
    </vt:vector>
  </HeadingPairs>
  <TitlesOfParts>
    <vt:vector size="40" baseType="lpstr">
      <vt:lpstr>INDICE</vt:lpstr>
      <vt:lpstr>Cuadro 1</vt:lpstr>
      <vt:lpstr>Cuadro 2</vt:lpstr>
      <vt:lpstr>Cuadro 3</vt:lpstr>
      <vt:lpstr>Cuadro 4</vt:lpstr>
      <vt:lpstr>Cuadro 5</vt:lpstr>
      <vt:lpstr>Cuadro 6</vt:lpstr>
      <vt:lpstr>Cuadro 7</vt:lpstr>
      <vt:lpstr>Cuadro 8</vt:lpstr>
      <vt:lpstr>Cuadro 9</vt:lpstr>
      <vt:lpstr>Cuadro 10</vt:lpstr>
      <vt:lpstr>Cuadro 11</vt:lpstr>
      <vt:lpstr>Cuadro 12</vt:lpstr>
      <vt:lpstr>Cuadro 13</vt:lpstr>
      <vt:lpstr>Cuadro 14</vt:lpstr>
      <vt:lpstr>Cuadro 15</vt:lpstr>
      <vt:lpstr>Cuadro 16</vt:lpstr>
      <vt:lpstr>Cuadro 17</vt:lpstr>
      <vt:lpstr>Cuadro 18</vt:lpstr>
      <vt:lpstr>Cuadro 19</vt:lpstr>
      <vt:lpstr>Cuadro 20</vt:lpstr>
      <vt:lpstr>Cuadro 21</vt:lpstr>
      <vt:lpstr>Cuadro 22</vt:lpstr>
      <vt:lpstr>Cuadro 23</vt:lpstr>
      <vt:lpstr>Cuadro 24</vt:lpstr>
      <vt:lpstr>Cuadro 25</vt:lpstr>
      <vt:lpstr>Cuadro 26</vt:lpstr>
      <vt:lpstr>Cuadro 27</vt:lpstr>
      <vt:lpstr>Cuadro 28</vt:lpstr>
      <vt:lpstr>Cuadro 29</vt:lpstr>
      <vt:lpstr>Cuadro 30</vt:lpstr>
      <vt:lpstr>Cuadro 31</vt:lpstr>
      <vt:lpstr>Cuadro 32</vt:lpstr>
      <vt:lpstr>Cuadro 33</vt:lpstr>
      <vt:lpstr>'Cuadro 2'!Área_de_impresión</vt:lpstr>
      <vt:lpstr>'Cuadro 5'!Área_de_impresión</vt:lpstr>
      <vt:lpstr>INDICE!Área_de_impresión</vt:lpstr>
      <vt:lpstr>'Cuadro 20'!OLE_LINK35</vt:lpstr>
      <vt:lpstr>'Cuadro 21'!OLE_LINK35</vt:lpstr>
      <vt:lpstr>'Cuadro 22'!OLE_LINK35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2019-04-17T14:01:44Z</cp:lastPrinted>
  <dcterms:created xsi:type="dcterms:W3CDTF">2004-05-04T18:56:27Z</dcterms:created>
  <dcterms:modified xsi:type="dcterms:W3CDTF">2025-05-23T13:49:15Z</dcterms:modified>
</cp:coreProperties>
</file>